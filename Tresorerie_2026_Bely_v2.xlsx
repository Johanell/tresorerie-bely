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résorerie 2026" sheetId="1" state="visible" r:id="rId3"/>
    <sheet name="Synthese Banki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<sst xmlns="http://schemas.openxmlformats.org/spreadsheetml/2006/main" count="93" uniqueCount="93">
  <si>
    <t xml:space="preserve">TRÉSORERIE 2026 — FAMILLE BELY</t>
  </si>
  <si>
    <t xml:space="preserve">Jan–Avr : données réelles (relevés Caisse d'Épargne) │ Mai : données réelles │ Jun–Déc : prévisions</t>
  </si>
  <si>
    <t xml:space="preserve">🔵 Texte bleu = valeur réelle saisie │ 🟡 Fond jaune = hypothèse modifiable │ Noir = formule automatique</t>
  </si>
  <si>
    <t xml:space="preserve">POSTE</t>
  </si>
  <si>
    <t xml:space="preserve">Jan ✅ réel</t>
  </si>
  <si>
    <t xml:space="preserve">Fév ✅ réel</t>
  </si>
  <si>
    <t xml:space="preserve">Mar ✅ réel</t>
  </si>
  <si>
    <t xml:space="preserve">Avr ✅ réel</t>
  </si>
  <si>
    <t xml:space="preserve">Mai ✅ réel</t>
  </si>
  <si>
    <t xml:space="preserve">Juin ✅ réel</t>
  </si>
  <si>
    <t xml:space="preserve">Juil ✅ réel</t>
  </si>
  <si>
    <t xml:space="preserve">Août 🔮 prévi</t>
  </si>
  <si>
    <t xml:space="preserve">Sep 🔮 prévi</t>
  </si>
  <si>
    <t xml:space="preserve">Oct 🔮 prévi</t>
  </si>
  <si>
    <t xml:space="preserve">Nov 🔮 prévi</t>
  </si>
  <si>
    <t xml:space="preserve">Déc 🔮 prévi</t>
  </si>
  <si>
    <t xml:space="preserve">TOTAL Annuel</t>
  </si>
  <si>
    <t xml:space="preserve">MOY. /Mois</t>
  </si>
  <si>
    <t xml:space="preserve">ENTRÉES — REVENUS</t>
  </si>
  <si>
    <t xml:space="preserve"> Revenus Julien (salaire, frais, coaching)</t>
  </si>
  <si>
    <t xml:space="preserve"> Revenus Audrey (archi, salaire, remb. pro)</t>
  </si>
  <si>
    <t xml:space="preserve"> Revenus Revolut joint (Julien &amp; Audrey)</t>
  </si>
  <si>
    <t xml:space="preserve"> Entraînements Ju (défraiements entraîneur, chèques)</t>
  </si>
  <si>
    <t xml:space="preserve">Abely SASU (virement mensuel)</t>
  </si>
  <si>
    <t xml:space="preserve">CAF</t>
  </si>
  <si>
    <t xml:space="preserve"> Kaki (grand-mère — cadeaux, ex-Lydie Bessière)</t>
  </si>
  <si>
    <t xml:space="preserve"> Autres (remboursements, divers)</t>
  </si>
  <si>
    <t xml:space="preserve"> Revente électricité (panneaux solaires, EDF OA)</t>
  </si>
  <si>
    <t xml:space="preserve">TOTAL ENTRÉES</t>
  </si>
  <si>
    <t xml:space="preserve">CHARGES FIXES</t>
  </si>
  <si>
    <t xml:space="preserve">AXA (assurances mutuelles + auto)</t>
  </si>
  <si>
    <t xml:space="preserve">Canal+</t>
  </si>
  <si>
    <t xml:space="preserve">Veolia (eau)</t>
  </si>
  <si>
    <t xml:space="preserve">Free Telecom (box internet)</t>
  </si>
  <si>
    <t xml:space="preserve">Free Mobile (téléphones)</t>
  </si>
  <si>
    <t xml:space="preserve">La Belle Énergie (électricité/gaz)</t>
  </si>
  <si>
    <t xml:space="preserve">Impôts IR (prélèvement mensuel)</t>
  </si>
  <si>
    <t xml:space="preserve">Impôts TF (taxe foncière)</t>
  </si>
  <si>
    <t xml:space="preserve">Sévigné (scolarité)</t>
  </si>
  <si>
    <t xml:space="preserve">Saint-Vallier (basket)</t>
  </si>
  <si>
    <t xml:space="preserve">Péages ASF (abonnement)</t>
  </si>
  <si>
    <t xml:space="preserve">Virements SCI Gambetta (apport mensuel)</t>
  </si>
  <si>
    <t xml:space="preserve">Lycée Johan (frais scol.)</t>
  </si>
  <si>
    <t xml:space="preserve">Abely QONTO (virement société)</t>
  </si>
  <si>
    <t xml:space="preserve">TOTAL CHARGES FIXES</t>
  </si>
  <si>
    <t xml:space="preserve">CHARGES VARIABLES ⟵ C'EST ICI QUE SE JOUE VOTRE LIBERTÉ FINANCIÈRE MENSUELLE</t>
  </si>
  <si>
    <t xml:space="preserve"> Courses alimentaires (Natodis, Leclerc, Lidl…)</t>
  </si>
  <si>
    <t xml:space="preserve"> Restaurants / Sorties (restos, cafés, cinéma…)</t>
  </si>
  <si>
    <t xml:space="preserve"> Shopping / Vêtements (Amazon, Zara, H&amp;M…)</t>
  </si>
  <si>
    <t xml:space="preserve">Santé / Pharmacie / Médecins</t>
  </si>
  <si>
    <t xml:space="preserve"> Loisirs / Sport / Culture (padel, volley, livres…)</t>
  </si>
  <si>
    <t xml:space="preserve"> Voyages / Hébergements (Airbnb, Booking…)</t>
  </si>
  <si>
    <t xml:space="preserve">Divers / Imprévus</t>
  </si>
  <si>
    <t xml:space="preserve">TOTAL CHARGES VARIABLES</t>
  </si>
  <si>
    <t xml:space="preserve">TOTAL DES CHARGES (CF + CV)</t>
  </si>
  <si>
    <t xml:space="preserve">RÉSULTAT NET DU MOIS (Entrées − CF − CV)</t>
  </si>
  <si>
    <t xml:space="preserve">SOLDE COMPTE (fin de mois) ← Réels Jan–Mai, puis projeté</t>
  </si>
  <si>
    <t xml:space="preserve">🔡 CE QUE VOUS POUVEZ DÉPENSER EN CHARGES VARIABLES CHAQUE MOIS POUR ÉQUILIBRER</t>
  </si>
  <si>
    <t xml:space="preserve">Budget CV max pour solde neutre (= Entrées − CF)</t>
  </si>
  <si>
    <t xml:space="preserve">Écart : CV réalisées vs budget (+ = économie, − = dépassement)</t>
  </si>
  <si>
    <t xml:space="preserve">SYNTHÈSE PAR CATÉGORIE (façon Bankin') — Trésorerie 2026</t>
  </si>
  <si>
    <t xml:space="preserve">Jan-Juin : reconstitué transaction par transaction depuis les relevés CEP réels. Juil-Déc : ventilation des catégories existantes (Courses/Restaurants/Shopping/Santé/Loisirs/Voyages/Divers), pas encore auditée ligne à ligne.</t>
  </si>
  <si>
    <t xml:space="preserve">CATÉGORIE</t>
  </si>
  <si>
    <t xml:space="preserve">Jan ✅</t>
  </si>
  <si>
    <t xml:space="preserve">Fév ✅</t>
  </si>
  <si>
    <t xml:space="preserve">Mar ✅</t>
  </si>
  <si>
    <t xml:space="preserve">Avr ✅</t>
  </si>
  <si>
    <t xml:space="preserve">Mai ✅</t>
  </si>
  <si>
    <t xml:space="preserve">Juin ✅</t>
  </si>
  <si>
    <t xml:space="preserve">Juil ✅</t>
  </si>
  <si>
    <t xml:space="preserve">Août 🔮</t>
  </si>
  <si>
    <t xml:space="preserve">Sep 🔮</t>
  </si>
  <si>
    <t xml:space="preserve">Oct 🔮</t>
  </si>
  <si>
    <t xml:space="preserve">Nov 🔮</t>
  </si>
  <si>
    <t xml:space="preserve">Déc 🔮</t>
  </si>
  <si>
    <t xml:space="preserve">TOTAL ANNUEL</t>
  </si>
  <si>
    <t xml:space="preserve">Loisirs et Sorties</t>
  </si>
  <si>
    <t xml:space="preserve">Alimentation et Restos</t>
  </si>
  <si>
    <t xml:space="preserve">Achats et shopping</t>
  </si>
  <si>
    <t xml:space="preserve">Auto et transports</t>
  </si>
  <si>
    <t xml:space="preserve">Logement</t>
  </si>
  <si>
    <t xml:space="preserve">Impots et taxes</t>
  </si>
  <si>
    <t xml:space="preserve">Scolarite et enfants</t>
  </si>
  <si>
    <t xml:space="preserve">Depenses pro</t>
  </si>
  <si>
    <t xml:space="preserve">Abonnements</t>
  </si>
  <si>
    <t xml:space="preserve">Retraits, cheques et virements</t>
  </si>
  <si>
    <t xml:space="preserve">Sante</t>
  </si>
  <si>
    <t xml:space="preserve">Banque</t>
  </si>
  <si>
    <t xml:space="preserve">Divers</t>
  </si>
  <si>
    <t xml:space="preserve">Esthetique et soins</t>
  </si>
  <si>
    <t xml:space="preserve">TOTAL TOUTES CATÉGORIES</t>
  </si>
  <si>
    <t xml:space="preserve">Notes / points à confirmer avec Julien :</t>
  </si>
  <si>
    <t xml:space="preserve">- AXA (assurances mutuelle + auto) est mis intégralement en "Auto et transports" faute de ventilation détaillée par contrat — à corriger si tu peux séparer mutuelle santé / assurance auto.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</si>
</sst>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&quot; €&quot;;[RED]\(#,##0&quot; €)&quot;;\-"/>
    <numFmt numFmtId="166" formatCode="#,##0.00&quot; €&quot;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2"/>
      <charset val="1"/>
    </font>
    <font>
      <i val="true"/>
      <sz val="10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66"/>
      <name val="Arial"/>
      <family val="2"/>
      <charset val="1"/>
    </font>
    <font>
      <b val="true"/>
      <sz val="10"/>
      <color rgb="FF1F4E79"/>
      <name val="Arial"/>
      <family val="2"/>
      <charset val="1"/>
    </font>
    <font>
      <b val="true"/>
      <sz val="10"/>
      <color rgb="FFC00000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4"/>
      <color rgb="FFFFFFFF"/>
      <name val="Cambria"/>
      <family val="0"/>
      <charset val="1"/>
    </font>
    <font>
      <i val="true"/>
      <sz val="9"/>
      <color rgb="FF808080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0"/>
      <name val="Cambria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4E79"/>
        <bgColor rgb="FF1A5276"/>
      </patternFill>
    </fill>
    <fill>
      <patternFill patternType="solid">
        <fgColor rgb="FF1A5276"/>
        <bgColor rgb="FF1F4E79"/>
      </patternFill>
    </fill>
    <fill>
      <patternFill patternType="solid">
        <fgColor rgb="FF2E75B6"/>
        <bgColor rgb="FF4472C4"/>
      </patternFill>
    </fill>
    <fill>
      <patternFill patternType="solid">
        <fgColor rgb="FFE2EFDA"/>
        <bgColor rgb="FFD6E4F0"/>
      </patternFill>
    </fill>
    <fill>
      <patternFill patternType="solid">
        <fgColor rgb="FFD6E4F0"/>
        <bgColor rgb="FFD9E1F2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843C0C"/>
        <bgColor rgb="FF993366"/>
      </patternFill>
    </fill>
    <fill>
      <patternFill patternType="solid">
        <fgColor rgb="FF2E5395"/>
        <bgColor rgb="FF1F4E79"/>
      </patternFill>
    </fill>
    <fill>
      <patternFill patternType="solid">
        <fgColor rgb="FF4472C4"/>
        <bgColor rgb="FF2E75B6"/>
      </patternFill>
    </fill>
    <fill>
      <patternFill patternType="solid">
        <fgColor rgb="FFD9E1F2"/>
        <bgColor rgb="FFD6E4F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9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6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0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1" fillId="7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12" fillId="8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6" fillId="9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3" fillId="1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5" fillId="11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7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66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6E4F0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1F4E79"/>
      <rgbColor rgb="FF339966"/>
      <rgbColor rgb="FF003300"/>
      <rgbColor rgb="FF333300"/>
      <rgbColor rgb="FF843C0C"/>
      <rgbColor rgb="FF993366"/>
      <rgbColor rgb="FF2E5395"/>
      <rgbColor rgb="FF1A527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13" min="2" style="0" width="11"/>
    <col collapsed="false" customWidth="true" hidden="false" outlineLevel="0" max="14" min="14" style="0" width="14"/>
  </cols>
  <sheetData>
    <row r="1" customFormat="false" ht="21.75" hidden="false" customHeight="true" outlineLevel="0" collapsed="false">
      <c r="A1" s="15" t="s">
        <v>60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</row>
    <row r="2" customFormat="false" ht="15" hidden="false" customHeight="false" outlineLevel="0" collapsed="false">
      <c r="A2" s="16" t="s">
        <v>61</v>
      </c>
      <c r="B2" s="16"/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</row>
    <row r="4" customFormat="false" ht="15" hidden="false" customHeight="false" outlineLevel="0" collapsed="false">
      <c r="A4" s="17" t="s">
        <v>62</v>
      </c>
      <c r="B4" s="18" t="s">
        <v>63</v>
      </c>
      <c r="C4" s="18" t="s">
        <v>64</v>
      </c>
      <c r="D4" s="18" t="s">
        <v>65</v>
      </c>
      <c r="E4" s="18" t="s">
        <v>66</v>
      </c>
      <c r="F4" s="18" t="s">
        <v>67</v>
      </c>
      <c r="G4" s="18" t="s">
        <v>68</v>
      </c>
      <c r="H4" s="18" t="s">
        <v>69</v>
      </c>
      <c r="I4" s="18" t="s">
        <v>70</v>
      </c>
      <c r="J4" s="18" t="s">
        <v>71</v>
      </c>
      <c r="K4" s="18" t="s">
        <v>72</v>
      </c>
      <c r="L4" s="18" t="s">
        <v>73</v>
      </c>
      <c r="M4" s="18" t="s">
        <v>74</v>
      </c>
      <c r="N4" s="18" t="s">
        <v>75</v>
      </c>
    </row>
    <row r="5" customFormat="false" ht="15" hidden="false" customHeight="false" outlineLevel="0" collapsed="false">
      <c r="A5" s="19" t="s">
        <v>76</v>
      </c>
      <c r="B5" s="20" t="n">
        <v>659</v>
      </c>
      <c r="C5" s="20" t="n">
        <v>344.8</v>
      </c>
      <c r="D5" s="20" t="n">
        <v>1153.54</v>
      </c>
      <c r="E5" s="20" t="n">
        <v>1008.59</v>
      </c>
      <c r="F5" s="20" t="n">
        <v>276.83</v>
      </c>
      <c r="G5" s="20" t="n">
        <v>602.55</v>
      </c>
      <c r="H5" s="20" t="n">
        <v>954</v>
      </c>
      <c r="I5" s="20" t="n">
        <v>1835</v>
      </c>
      <c r="J5" s="20" t="n">
        <v>335</v>
      </c>
      <c r="K5" s="20" t="n">
        <v>335</v>
      </c>
      <c r="L5" s="20" t="n">
        <v>335</v>
      </c>
      <c r="M5" s="20" t="n">
        <v>335</v>
      </c>
      <c r="N5" s="21" t="n">
        <f aca="false">SUM(B5:M5)</f>
        <v>8174.31</v>
      </c>
    </row>
    <row r="6" customFormat="false" ht="15" hidden="false" customHeight="false" outlineLevel="0" collapsed="false">
      <c r="A6" s="19" t="s">
        <v>77</v>
      </c>
      <c r="B6" s="20" t="n">
        <v>449.19</v>
      </c>
      <c r="C6" s="20" t="n">
        <v>296.37</v>
      </c>
      <c r="D6" s="20" t="n">
        <v>675.97</v>
      </c>
      <c r="E6" s="20" t="n">
        <v>774.49</v>
      </c>
      <c r="F6" s="20" t="n">
        <v>601.75</v>
      </c>
      <c r="G6" s="20" t="n">
        <v>589.87</v>
      </c>
      <c r="H6" s="20" t="n">
        <v>1380</v>
      </c>
      <c r="I6" s="20" t="n">
        <v>688</v>
      </c>
      <c r="J6" s="20" t="n">
        <v>688</v>
      </c>
      <c r="K6" s="20" t="n">
        <v>688</v>
      </c>
      <c r="L6" s="20" t="n">
        <v>688</v>
      </c>
      <c r="M6" s="20" t="n">
        <v>688</v>
      </c>
      <c r="N6" s="21" t="n">
        <f aca="false">SUM(B6:M6)</f>
        <v>8207.64</v>
      </c>
    </row>
    <row r="7" customFormat="false" ht="15" hidden="false" customHeight="false" outlineLevel="0" collapsed="false">
      <c r="A7" s="19" t="s">
        <v>78</v>
      </c>
      <c r="B7" s="20" t="n">
        <v>368.94</v>
      </c>
      <c r="C7" s="20" t="n">
        <v>465.14</v>
      </c>
      <c r="D7" s="20" t="n">
        <v>593.81</v>
      </c>
      <c r="E7" s="20" t="n">
        <v>508.92</v>
      </c>
      <c r="F7" s="20" t="n">
        <v>1003.27</v>
      </c>
      <c r="G7" s="20" t="n">
        <v>1089.35</v>
      </c>
      <c r="H7" s="20" t="n">
        <v>876</v>
      </c>
      <c r="I7" s="20" t="n">
        <v>593</v>
      </c>
      <c r="J7" s="20" t="n">
        <v>593</v>
      </c>
      <c r="K7" s="20" t="n">
        <v>593</v>
      </c>
      <c r="L7" s="20" t="n">
        <v>593</v>
      </c>
      <c r="M7" s="20" t="n">
        <v>593</v>
      </c>
      <c r="N7" s="21" t="n">
        <f aca="false">SUM(B7:M7)</f>
        <v>7870.43</v>
      </c>
    </row>
    <row r="8" customFormat="false" ht="15" hidden="false" customHeight="false" outlineLevel="0" collapsed="false">
      <c r="A8" s="19" t="s">
        <v>79</v>
      </c>
      <c r="B8" s="20" t="n">
        <v>635.87</v>
      </c>
      <c r="C8" s="20" t="n">
        <v>417.84</v>
      </c>
      <c r="D8" s="20" t="n">
        <v>428.22</v>
      </c>
      <c r="E8" s="20" t="n">
        <v>266.49</v>
      </c>
      <c r="F8" s="20" t="n">
        <v>420.31</v>
      </c>
      <c r="G8" s="20" t="n">
        <v>326.99</v>
      </c>
      <c r="H8" s="20" t="n">
        <v>265</v>
      </c>
      <c r="I8" s="20" t="n">
        <v>264</v>
      </c>
      <c r="J8" s="20" t="n">
        <v>264</v>
      </c>
      <c r="K8" s="20" t="n">
        <v>264</v>
      </c>
      <c r="L8" s="20" t="n">
        <v>264</v>
      </c>
      <c r="M8" s="20" t="n">
        <v>264</v>
      </c>
      <c r="N8" s="21" t="n">
        <f aca="false">SUM(B8:M8)</f>
        <v>4080.72</v>
      </c>
    </row>
    <row r="9" customFormat="false" ht="15" hidden="false" customHeight="false" outlineLevel="0" collapsed="false">
      <c r="A9" s="19" t="s">
        <v>80</v>
      </c>
      <c r="B9" s="20" t="n">
        <v>142.41</v>
      </c>
      <c r="C9" s="20" t="n">
        <v>642</v>
      </c>
      <c r="D9" s="20" t="n">
        <v>126.42</v>
      </c>
      <c r="E9" s="20" t="n">
        <v>377</v>
      </c>
      <c r="F9" s="20" t="n">
        <v>276.85</v>
      </c>
      <c r="G9" s="20" t="n">
        <v>337.13</v>
      </c>
      <c r="H9" s="20" t="n">
        <v>287</v>
      </c>
      <c r="I9" s="20" t="n">
        <v>316</v>
      </c>
      <c r="J9" s="20" t="n">
        <v>316</v>
      </c>
      <c r="K9" s="20" t="n">
        <v>316</v>
      </c>
      <c r="L9" s="20" t="n">
        <v>316</v>
      </c>
      <c r="M9" s="20" t="n">
        <v>316</v>
      </c>
      <c r="N9" s="21" t="n">
        <f aca="false">SUM(B9:M9)</f>
        <v>3768.81</v>
      </c>
    </row>
    <row r="10" customFormat="false" ht="15" hidden="false" customHeight="false" outlineLevel="0" collapsed="false">
      <c r="A10" s="19" t="s">
        <v>81</v>
      </c>
      <c r="B10" s="20" t="n">
        <v>401</v>
      </c>
      <c r="C10" s="20" t="n">
        <v>401</v>
      </c>
      <c r="D10" s="20" t="n">
        <v>401</v>
      </c>
      <c r="E10" s="20" t="n">
        <v>401</v>
      </c>
      <c r="F10" s="20" t="n">
        <v>401</v>
      </c>
      <c r="G10" s="20" t="n">
        <v>401</v>
      </c>
      <c r="H10" s="20" t="n">
        <v>401</v>
      </c>
      <c r="I10" s="20" t="n">
        <v>401</v>
      </c>
      <c r="J10" s="20" t="n">
        <v>401</v>
      </c>
      <c r="K10" s="20" t="n">
        <v>401</v>
      </c>
      <c r="L10" s="20" t="n">
        <v>401</v>
      </c>
      <c r="M10" s="20" t="n">
        <v>401</v>
      </c>
      <c r="N10" s="21" t="n">
        <f aca="false">SUM(B10:M10)</f>
        <v>4812</v>
      </c>
    </row>
    <row r="11" customFormat="false" ht="15" hidden="false" customHeight="false" outlineLevel="0" collapsed="false">
      <c r="A11" s="19" t="s">
        <v>82</v>
      </c>
      <c r="B11" s="20" t="n">
        <v>224</v>
      </c>
      <c r="C11" s="20" t="n">
        <v>342</v>
      </c>
      <c r="D11" s="20" t="n">
        <v>342</v>
      </c>
      <c r="E11" s="20" t="n">
        <v>836</v>
      </c>
      <c r="F11" s="20" t="n">
        <v>686</v>
      </c>
      <c r="G11" s="20" t="n">
        <v>526</v>
      </c>
      <c r="H11" s="20" t="n">
        <v>163</v>
      </c>
      <c r="I11" s="20"/>
      <c r="J11" s="20" t="n">
        <v>507</v>
      </c>
      <c r="K11" s="20" t="n">
        <v>507</v>
      </c>
      <c r="L11" s="20" t="n">
        <v>507</v>
      </c>
      <c r="M11" s="20" t="n">
        <v>507</v>
      </c>
      <c r="N11" s="21" t="n">
        <f aca="false">SUM(B11:M11)</f>
        <v>5147</v>
      </c>
    </row>
    <row r="12" customFormat="false" ht="15" hidden="false" customHeight="false" outlineLevel="0" collapsed="false">
      <c r="A12" s="19" t="s">
        <v>83</v>
      </c>
      <c r="B12" s="20" t="n">
        <v>700</v>
      </c>
      <c r="C12" s="20"/>
      <c r="D12" s="20"/>
      <c r="E12" s="20" t="n">
        <v>2936.99</v>
      </c>
      <c r="F12" s="20" t="n">
        <v>226.78</v>
      </c>
      <c r="G12" s="20" t="n">
        <v>1021.6</v>
      </c>
      <c r="H12" s="20" t="n">
        <v>4</v>
      </c>
      <c r="I12" s="20"/>
      <c r="J12" s="20"/>
      <c r="K12" s="20"/>
      <c r="L12" s="20"/>
      <c r="M12" s="20"/>
      <c r="N12" s="21" t="n">
        <f aca="false">SUM(B12:M12)</f>
        <v>4889.37</v>
      </c>
    </row>
    <row r="13" customFormat="false" ht="15" hidden="false" customHeight="false" outlineLevel="0" collapsed="false">
      <c r="A13" s="19" t="s">
        <v>84</v>
      </c>
      <c r="B13" s="20" t="n">
        <v>258.89</v>
      </c>
      <c r="C13" s="20" t="n">
        <v>265.08</v>
      </c>
      <c r="D13" s="20" t="n">
        <v>172.99</v>
      </c>
      <c r="E13" s="20" t="n">
        <v>227.98</v>
      </c>
      <c r="F13" s="20" t="n">
        <v>217.99</v>
      </c>
      <c r="G13" s="20" t="n">
        <v>194.99</v>
      </c>
      <c r="H13" s="20" t="n">
        <v>190</v>
      </c>
      <c r="I13" s="20" t="n">
        <v>161</v>
      </c>
      <c r="J13" s="20" t="n">
        <v>161</v>
      </c>
      <c r="K13" s="20" t="n">
        <v>161</v>
      </c>
      <c r="L13" s="20" t="n">
        <v>161</v>
      </c>
      <c r="M13" s="20" t="n">
        <v>161</v>
      </c>
      <c r="N13" s="21" t="n">
        <f aca="false">SUM(B13:M13)</f>
        <v>2332.92</v>
      </c>
    </row>
    <row r="14" customFormat="false" ht="15" hidden="false" customHeight="false" outlineLevel="0" collapsed="false">
      <c r="A14" s="19" t="s">
        <v>85</v>
      </c>
      <c r="B14" s="20" t="n">
        <v>100</v>
      </c>
      <c r="C14" s="20" t="n">
        <v>372.27</v>
      </c>
      <c r="D14" s="20" t="n">
        <v>200</v>
      </c>
      <c r="E14" s="20"/>
      <c r="F14" s="20" t="n">
        <v>150</v>
      </c>
      <c r="G14" s="20" t="n">
        <v>242</v>
      </c>
      <c r="H14" s="20"/>
      <c r="I14" s="20"/>
      <c r="J14" s="20"/>
      <c r="K14" s="20"/>
      <c r="L14" s="20"/>
      <c r="M14" s="20"/>
      <c r="N14" s="21" t="n">
        <f aca="false">SUM(B14:M14)</f>
        <v>1064.27</v>
      </c>
    </row>
    <row r="15" customFormat="false" ht="15" hidden="false" customHeight="false" outlineLevel="0" collapsed="false">
      <c r="A15" s="19" t="s">
        <v>86</v>
      </c>
      <c r="B15" s="20" t="n">
        <v>188.29</v>
      </c>
      <c r="C15" s="20" t="n">
        <v>13.92</v>
      </c>
      <c r="D15" s="20"/>
      <c r="E15" s="20" t="n">
        <v>160</v>
      </c>
      <c r="F15" s="20" t="n">
        <v>190.08</v>
      </c>
      <c r="G15" s="20" t="n">
        <v>37.9</v>
      </c>
      <c r="H15" s="20" t="n">
        <v>44</v>
      </c>
      <c r="I15" s="20" t="n">
        <v>111</v>
      </c>
      <c r="J15" s="20" t="n">
        <v>111</v>
      </c>
      <c r="K15" s="20" t="n">
        <v>111</v>
      </c>
      <c r="L15" s="20" t="n">
        <v>111</v>
      </c>
      <c r="M15" s="20" t="n">
        <v>111</v>
      </c>
      <c r="N15" s="21" t="n">
        <f aca="false">SUM(B15:M15)</f>
        <v>1189.19</v>
      </c>
    </row>
    <row r="16" customFormat="false" ht="15" hidden="false" customHeight="false" outlineLevel="0" collapsed="false">
      <c r="A16" s="19" t="s">
        <v>87</v>
      </c>
      <c r="B16" s="20" t="n">
        <v>13.96</v>
      </c>
      <c r="C16" s="20" t="n">
        <v>24.05</v>
      </c>
      <c r="D16" s="20" t="n">
        <v>18.29</v>
      </c>
      <c r="E16" s="20" t="n">
        <v>13.55</v>
      </c>
      <c r="F16" s="20" t="n">
        <v>14.25</v>
      </c>
      <c r="G16" s="20" t="n">
        <v>18.78</v>
      </c>
      <c r="H16" s="20"/>
      <c r="I16" s="20"/>
      <c r="J16" s="20"/>
      <c r="K16" s="20"/>
      <c r="L16" s="20"/>
      <c r="M16" s="20"/>
      <c r="N16" s="21" t="n">
        <f aca="false">SUM(B16:M16)</f>
        <v>102.88</v>
      </c>
    </row>
    <row r="17" customFormat="false" ht="15" hidden="false" customHeight="false" outlineLevel="0" collapsed="false">
      <c r="A17" s="19" t="s">
        <v>88</v>
      </c>
      <c r="B17" s="20" t="n">
        <v>142.69</v>
      </c>
      <c r="C17" s="20" t="n">
        <v>316.27</v>
      </c>
      <c r="D17" s="20" t="n">
        <v>227.88</v>
      </c>
      <c r="E17" s="20" t="n">
        <v>393.48</v>
      </c>
      <c r="F17" s="20" t="n">
        <v>49.56</v>
      </c>
      <c r="G17" s="20" t="n">
        <v>427.82</v>
      </c>
      <c r="H17" s="20" t="n">
        <v>1528</v>
      </c>
      <c r="I17" s="20" t="n">
        <v>725</v>
      </c>
      <c r="J17" s="20" t="n">
        <v>725</v>
      </c>
      <c r="K17" s="20" t="n">
        <v>725</v>
      </c>
      <c r="L17" s="20" t="n">
        <v>725</v>
      </c>
      <c r="M17" s="20" t="n">
        <v>725</v>
      </c>
      <c r="N17" s="21" t="n">
        <f aca="false">SUM(B17:M17)</f>
        <v>6710.7</v>
      </c>
    </row>
    <row r="18" customFormat="false" ht="15" hidden="false" customHeight="false" outlineLevel="0" collapsed="false">
      <c r="A18" s="19" t="s">
        <v>89</v>
      </c>
      <c r="B18" s="20"/>
      <c r="C18" s="20" t="n">
        <v>95</v>
      </c>
      <c r="D18" s="20"/>
      <c r="E18" s="20"/>
      <c r="F18" s="20"/>
      <c r="G18" s="20" t="n">
        <v>57</v>
      </c>
      <c r="H18" s="20"/>
      <c r="I18" s="20"/>
      <c r="J18" s="20"/>
      <c r="K18" s="20"/>
      <c r="L18" s="20"/>
      <c r="M18" s="20"/>
      <c r="N18" s="21" t="n">
        <f aca="false">SUM(B18:M18)</f>
        <v>152</v>
      </c>
    </row>
    <row r="19" customFormat="false" ht="15" hidden="false" customHeight="false" outlineLevel="0" collapsed="false">
      <c r="A19" s="22" t="s">
        <v>90</v>
      </c>
      <c r="B19" s="23" t="n">
        <f aca="false">SUM(B5:B18)</f>
        <v>4284.24</v>
      </c>
      <c r="C19" s="23" t="n">
        <f aca="false">SUM(C5:C18)</f>
        <v>3995.74</v>
      </c>
      <c r="D19" s="23" t="n">
        <f aca="false">SUM(D5:D18)</f>
        <v>4340.12</v>
      </c>
      <c r="E19" s="23" t="n">
        <f aca="false">SUM(E5:E18)</f>
        <v>7904.49</v>
      </c>
      <c r="F19" s="23" t="n">
        <f aca="false">SUM(F5:F18)</f>
        <v>4514.67</v>
      </c>
      <c r="G19" s="23" t="n">
        <f aca="false">SUM(G5:G18)</f>
        <v>5872.98</v>
      </c>
      <c r="H19" s="23" t="n">
        <f aca="false">SUM(H5:H18)</f>
        <v>6092</v>
      </c>
      <c r="I19" s="23" t="n">
        <f aca="false">SUM(I5:I18)</f>
        <v>5094</v>
      </c>
      <c r="J19" s="23" t="n">
        <f aca="false">SUM(J5:J18)</f>
        <v>4101</v>
      </c>
      <c r="K19" s="23" t="n">
        <f aca="false">SUM(K5:K18)</f>
        <v>4101</v>
      </c>
      <c r="L19" s="23" t="n">
        <f aca="false">SUM(L5:L18)</f>
        <v>4101</v>
      </c>
      <c r="M19" s="23" t="n">
        <f aca="false">SUM(M5:M18)</f>
        <v>4101</v>
      </c>
      <c r="N19" s="23" t="n">
        <f aca="false">SUM(N5:N18)</f>
        <v>58502.24</v>
      </c>
    </row>
    <row r="21" customFormat="false" ht="15" hidden="false" customHeight="false" outlineLevel="0" collapsed="false">
      <c r="A21" s="24" t="s">
        <v>91</v>
      </c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</row>
    <row r="22" customFormat="false" ht="15" hidden="false" customHeight="false" outlineLevel="0" collapsed="false">
      <c r="A22" s="16" t="s">
        <v>92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</row>
  </sheetData>
  <mergeCells count="4">
    <mergeCell ref="A1:P1"/>
    <mergeCell ref="A2:P2"/>
    <mergeCell ref="A21:N21"/>
    <mergeCell ref="A22:N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2026-06-12T09:12:54Z</dcterms:created>
  <dc:creator>openpyxl</dc:creator>
  <dc:description/>
  <dc:language>en-US</dc:language>
  <cp:lastModifiedBy>Audrey BELY</cp:lastModifiedBy>
  <dcterms:modified xsi:type="dcterms:W3CDTF">2026-08-19T07:13:17Z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