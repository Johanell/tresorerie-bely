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ésorerie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<sst xmlns="http://schemas.openxmlformats.org/spreadsheetml/2006/main" count="58" uniqueCount="58">
  <si>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TRÉSORERIE 2026 — FAMILLE BELY</t>
  </si>
  <si>
    <t xml:space="preserve">Jan–Avr : données réelles (relevés Caisse d'Épargne) │ Mai : données réelles │ Jun–Déc : prévisions</t>
  </si>
  <si>
    <t xml:space="preserve">🔵 Texte bleu = valeur réelle saisie │ 🟡 Fond jaune = hypothèse modifiable │ Noir = formule automatique</t>
  </si>
  <si>
    <t xml:space="preserve">POSTE</t>
  </si>
  <si>
    <t xml:space="preserve">Jan ✅ réel</t>
  </si>
  <si>
    <t xml:space="preserve">Fév ✅ réel</t>
  </si>
  <si>
    <t xml:space="preserve">Mar ✅ réel</t>
  </si>
  <si>
    <t xml:space="preserve">Avr ✅ réel</t>
  </si>
  <si>
    <t xml:space="preserve">Mai ✅ réel</t>
  </si>
  <si>
    <t xml:space="preserve">Juin ✅ réel</t>
  </si>
  <si>
    <t xml:space="preserve">Juil ✅ réel</t>
  </si>
  <si>
    <t xml:space="preserve">Août 🔮 prévi</t>
  </si>
  <si>
    <t xml:space="preserve">Sep 🔮 prévi</t>
  </si>
  <si>
    <t xml:space="preserve">Oct 🔮 prévi</t>
  </si>
  <si>
    <t xml:space="preserve">Nov 🔮 prévi</t>
  </si>
  <si>
    <t xml:space="preserve">Déc 🔮 prévi</t>
  </si>
  <si>
    <t xml:space="preserve">TOTAL Annuel</t>
  </si>
  <si>
    <t xml:space="preserve">MOY. /Mois</t>
  </si>
  <si>
    <t xml:space="preserve">ENTRÉES — REVENUS</t>
  </si>
  <si>
    <t xml:space="preserve"> Revenus Julien (salaire, frais, coaching, arbitrage)</t>
  </si>
  <si>
    <t xml:space="preserve"> Revenus Audrey (archi, salaire, remb. pro)</t>
  </si>
  <si>
    <t xml:space="preserve"> Revenus Revolut joint (Julien &amp; Audrey)</t>
  </si>
  <si>
    <t xml:space="preserve">Abely SASU (virement mensuel)</t>
  </si>
  <si>
    <t xml:space="preserve">CAF</t>
  </si>
  <si>
    <t xml:space="preserve">Kaki (locataire — SCI)</t>
  </si>
  <si>
    <t xml:space="preserve"> Autres (remboursements, arbitrage, divers)</t>
  </si>
  <si>
    <t xml:space="preserve">TOTAL ENTRÉES</t>
  </si>
  <si>
    <t xml:space="preserve">CHARGES FIXES</t>
  </si>
  <si>
    <t xml:space="preserve">AXA (assurances mutuelles + auto)</t>
  </si>
  <si>
    <t xml:space="preserve">Canal+</t>
  </si>
  <si>
    <t xml:space="preserve">Veolia (eau)</t>
  </si>
  <si>
    <t xml:space="preserve">Free Telecom (box internet)</t>
  </si>
  <si>
    <t xml:space="preserve">Free Mobile (téléphones)</t>
  </si>
  <si>
    <t xml:space="preserve">La Belle Énergie (électricité/gaz)</t>
  </si>
  <si>
    <t xml:space="preserve">Impôts IR (prélèvement mensuel)</t>
  </si>
  <si>
    <t xml:space="preserve">Impôts TF (taxe foncière)</t>
  </si>
  <si>
    <t xml:space="preserve">Sévigné (scolarité)</t>
  </si>
  <si>
    <t xml:space="preserve">Saint-Vallier (basket)</t>
  </si>
  <si>
    <t xml:space="preserve">Péages ASF (abonnement)</t>
  </si>
  <si>
    <t xml:space="preserve">Virements SCI Gambetta (apport mensuel)</t>
  </si>
  <si>
    <t xml:space="preserve">Lycée Johan (frais scol.)</t>
  </si>
  <si>
    <t xml:space="preserve">Abely QONTO (virement société)</t>
  </si>
  <si>
    <t xml:space="preserve">TOTAL CHARGES FIXES</t>
  </si>
  <si>
    <t xml:space="preserve">CHARGES VARIABLES ⟵ C'EST ICI QUE SE JOUE VOTRE LIBERTÉ FINANCIÈRE MENSUELLE</t>
  </si>
  <si>
    <t xml:space="preserve"> Courses alimentaires (Natodis, Leclerc, Lidl…)</t>
  </si>
  <si>
    <t xml:space="preserve"> Restaurants / Sorties (restos, cafés, cinéma…)</t>
  </si>
  <si>
    <t xml:space="preserve"> Shopping / Vêtements (Amazon, Zara, H&amp;M…)</t>
  </si>
  <si>
    <t xml:space="preserve">Santé / Pharmacie / Médecins</t>
  </si>
  <si>
    <t xml:space="preserve"> Loisirs / Sport / Culture (padel, volley, livres…)</t>
  </si>
  <si>
    <t xml:space="preserve"> Voyages / Hébergements (Airbnb, Booking…)</t>
  </si>
  <si>
    <t xml:space="preserve">Divers / Imprévus</t>
  </si>
  <si>
    <t xml:space="preserve">TOTAL CHARGES VARIABLES</t>
  </si>
  <si>
    <t xml:space="preserve">TOTAL DES CHARGES (CF + CV)</t>
  </si>
  <si>
    <t xml:space="preserve">RÉSULTAT NET DU MOIS (Entrées − CF − CV)</t>
  </si>
  <si>
    <t xml:space="preserve">SOLDE COMPTE (fin de mois) ← Réels Jan–Mai, puis projeté</t>
  </si>
  <si>
    <t xml:space="preserve">🔡 CE QUE VOUS POUVEZ DÉPENSER EN CHARGES VARIABLES CHAQUE MOIS POUR ÉQUILIBRER</t>
  </si>
  <si>
    <t xml:space="preserve">Budget CV max pour solde neutre (= Entrées − CF)</t>
  </si>
  <si>
    <t xml:space="preserve">Écart : CV réalisées vs budget (+ = économie, − = dépassement)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</si>
</sst>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€&quot;;[RED]\(#,##0&quot; €)&quot;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66"/>
      <name val="Arial"/>
      <family val="2"/>
      <charset val="1"/>
    </font>
    <font>
      <b val="true"/>
      <sz val="10"/>
      <color rgb="FF1F4E79"/>
      <name val="Arial"/>
      <family val="2"/>
      <charset val="1"/>
    </font>
    <font>
      <b val="true"/>
      <sz val="10"/>
      <color rgb="FFC00000"/>
      <name val="Arial"/>
      <family val="2"/>
      <charset val="1"/>
    </font>
    <font>
      <b val="true"/>
      <sz val="1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1A5276"/>
        <bgColor rgb="FF1F4E79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843C0C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66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843C0C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I9" activeCellId="0" sqref="I9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59.85"/>
    <col collapsed="false" customWidth="true" hidden="false" outlineLevel="0" max="13" min="2" style="1" width="14"/>
    <col collapsed="false" customWidth="true" hidden="false" outlineLevel="0" max="14" min="14" style="1" width="16"/>
    <col collapsed="false" customWidth="true" hidden="false" outlineLevel="0" max="15" min="15" style="1" width="1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34.5" hidden="false" customHeight="true" outlineLevel="0" collapsed="false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</row>
    <row r="5" customFormat="false" ht="19.5" hidden="false" customHeight="true" outlineLevel="0" collapsed="false">
      <c r="A5" s="6" t="s">
        <v>18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customFormat="false" ht="18" hidden="false" customHeight="true" outlineLevel="0" collapsed="false">
      <c r="A6" s="7" t="s">
        <v>19</v>
      </c>
      <c r="B6" s="8" t="n">
        <v>2200</v>
      </c>
      <c r="C6" s="8" t="n">
        <v>2200</v>
      </c>
      <c r="D6" s="8" t="n">
        <v>2200</v>
      </c>
      <c r="E6" s="8" t="n">
        <v>2200</v>
      </c>
      <c r="F6" s="9" t="n">
        <v>3240</v>
      </c>
      <c r="G6" s="8" t="n">
        <v>2200</v>
      </c>
      <c r="H6" s="8" t="n">
        <v>1230</v>
      </c>
      <c r="I6" s="8" t="n">
        <v>2700</v>
      </c>
      <c r="J6" s="8" t="n">
        <v>2700</v>
      </c>
      <c r="K6" s="8" t="n">
        <v>2700</v>
      </c>
      <c r="L6" s="8" t="n">
        <v>2700</v>
      </c>
      <c r="M6" s="8" t="n">
        <v>2700</v>
      </c>
      <c r="N6" s="8" t="n">
        <f aca="false">SUM(B6:M6)</f>
        <v>28970</v>
      </c>
      <c r="O6" s="8" t="n">
        <f aca="false">IFERROR(N6/12,0)</f>
        <v>2414.16666666667</v>
      </c>
    </row>
    <row r="7" customFormat="false" ht="18" hidden="false" customHeight="true" outlineLevel="0" collapsed="false">
      <c r="A7" s="7" t="s">
        <v>20</v>
      </c>
      <c r="B7" s="8" t="n">
        <v>920</v>
      </c>
      <c r="C7" s="8" t="n">
        <v>920</v>
      </c>
      <c r="D7" s="8" t="n">
        <v>920</v>
      </c>
      <c r="E7" s="8" t="n">
        <v>920</v>
      </c>
      <c r="F7" s="9" t="n">
        <v>920</v>
      </c>
      <c r="G7" s="8" t="n">
        <v>920</v>
      </c>
      <c r="H7" s="8" t="n">
        <v>850</v>
      </c>
      <c r="I7" s="8" t="n">
        <v>920</v>
      </c>
      <c r="J7" s="8" t="n">
        <v>920</v>
      </c>
      <c r="K7" s="8" t="n">
        <v>920</v>
      </c>
      <c r="L7" s="8" t="n">
        <v>920</v>
      </c>
      <c r="M7" s="8" t="n">
        <v>920</v>
      </c>
      <c r="N7" s="8" t="n">
        <f aca="false">SUM(B7:M7)</f>
        <v>10970</v>
      </c>
      <c r="O7" s="8" t="n">
        <f aca="false">IFERROR(N7/12,0)</f>
        <v>914.166666666667</v>
      </c>
    </row>
    <row r="8" customFormat="false" ht="18" hidden="false" customHeight="true" outlineLevel="0" collapsed="false">
      <c r="A8" s="7" t="s">
        <v>21</v>
      </c>
      <c r="B8" s="8" t="n">
        <v>1307</v>
      </c>
      <c r="C8" s="8" t="n">
        <v>3935</v>
      </c>
      <c r="D8" s="8" t="n">
        <v>3841</v>
      </c>
      <c r="E8" s="8" t="n">
        <v>3447</v>
      </c>
      <c r="F8" s="9" t="n">
        <v>2660</v>
      </c>
      <c r="G8" s="8" t="n">
        <v>7490</v>
      </c>
      <c r="H8" s="8" t="n">
        <v>0</v>
      </c>
      <c r="I8" s="8"/>
      <c r="J8" s="8"/>
      <c r="K8" s="8"/>
      <c r="L8" s="8"/>
      <c r="M8" s="8"/>
      <c r="N8" s="8"/>
      <c r="O8" s="8"/>
    </row>
    <row r="9" customFormat="false" ht="18" hidden="false" customHeight="true" outlineLevel="0" collapsed="false">
      <c r="A9" s="7" t="s">
        <v>22</v>
      </c>
      <c r="B9" s="8" t="n">
        <v>600</v>
      </c>
      <c r="C9" s="8" t="n">
        <v>600</v>
      </c>
      <c r="D9" s="8" t="n">
        <v>600</v>
      </c>
      <c r="E9" s="8" t="n">
        <v>600</v>
      </c>
      <c r="F9" s="9" t="n">
        <v>600</v>
      </c>
      <c r="G9" s="8" t="n">
        <v>600</v>
      </c>
      <c r="H9" s="8" t="n">
        <v>600</v>
      </c>
      <c r="I9" s="8" t="n">
        <v>600</v>
      </c>
      <c r="J9" s="8" t="n">
        <v>600</v>
      </c>
      <c r="K9" s="8" t="n">
        <v>600</v>
      </c>
      <c r="L9" s="8" t="n">
        <v>600</v>
      </c>
      <c r="M9" s="8" t="n">
        <v>600</v>
      </c>
      <c r="N9" s="8" t="n">
        <f aca="false">SUM(B9:M9)</f>
        <v>7200</v>
      </c>
      <c r="O9" s="8" t="n">
        <f aca="false">IFERROR(N9/12,0)</f>
        <v>600</v>
      </c>
    </row>
    <row r="10" customFormat="false" ht="18" hidden="false" customHeight="true" outlineLevel="0" collapsed="false">
      <c r="A10" s="7" t="s">
        <v>23</v>
      </c>
      <c r="B10" s="8" t="n">
        <v>151</v>
      </c>
      <c r="C10" s="8" t="n">
        <v>151</v>
      </c>
      <c r="D10" s="8" t="n">
        <v>151</v>
      </c>
      <c r="E10" s="8" t="n">
        <v>151</v>
      </c>
      <c r="F10" s="9" t="n">
        <v>152</v>
      </c>
      <c r="G10" s="8" t="n">
        <v>152</v>
      </c>
      <c r="H10" s="8" t="n">
        <v>152</v>
      </c>
      <c r="I10" s="8" t="n">
        <v>151</v>
      </c>
      <c r="J10" s="8" t="n">
        <v>151</v>
      </c>
      <c r="K10" s="8" t="n">
        <v>151</v>
      </c>
      <c r="L10" s="8" t="n">
        <v>151</v>
      </c>
      <c r="M10" s="8" t="n">
        <v>151</v>
      </c>
      <c r="N10" s="8" t="n">
        <f aca="false">SUM(B10:M10)</f>
        <v>1815</v>
      </c>
      <c r="O10" s="8" t="n">
        <f aca="false">IFERROR(N10/12,0)</f>
        <v>151.25</v>
      </c>
    </row>
    <row r="11" customFormat="false" ht="18" hidden="false" customHeight="true" outlineLevel="0" collapsed="false">
      <c r="A11" s="7" t="s">
        <v>24</v>
      </c>
      <c r="B11" s="8"/>
      <c r="C11" s="8"/>
      <c r="D11" s="8"/>
      <c r="E11" s="8"/>
      <c r="F11" s="9"/>
      <c r="G11" s="8"/>
      <c r="H11" s="8" t="n">
        <v>0</v>
      </c>
      <c r="I11" s="8" t="n">
        <v>600</v>
      </c>
      <c r="J11" s="8" t="n">
        <v>600</v>
      </c>
      <c r="K11" s="8" t="n">
        <v>600</v>
      </c>
      <c r="L11" s="8" t="n">
        <v>600</v>
      </c>
      <c r="M11" s="8" t="n">
        <v>600</v>
      </c>
      <c r="N11" s="8" t="n">
        <f aca="false">SUM(B11:M11)</f>
        <v>3000</v>
      </c>
      <c r="O11" s="8" t="n">
        <f aca="false">IFERROR(N11/12,0)</f>
        <v>250</v>
      </c>
    </row>
    <row r="12" customFormat="false" ht="18" hidden="false" customHeight="true" outlineLevel="0" collapsed="false">
      <c r="A12" s="7" t="s">
        <v>25</v>
      </c>
      <c r="B12" s="8" t="n">
        <v>725</v>
      </c>
      <c r="C12" s="8" t="n">
        <v>1743</v>
      </c>
      <c r="D12" s="8" t="n">
        <v>1443</v>
      </c>
      <c r="E12" s="8" t="n">
        <v>812</v>
      </c>
      <c r="F12" s="9" t="n">
        <v>309</v>
      </c>
      <c r="G12" s="8" t="n">
        <v>1595</v>
      </c>
      <c r="H12" s="8" t="n">
        <v>555</v>
      </c>
      <c r="I12" s="8" t="n">
        <v>400</v>
      </c>
      <c r="J12" s="8" t="n">
        <v>400</v>
      </c>
      <c r="K12" s="8" t="n">
        <v>400</v>
      </c>
      <c r="L12" s="8" t="n">
        <v>400</v>
      </c>
      <c r="M12" s="8" t="n">
        <v>400</v>
      </c>
      <c r="N12" s="8" t="n">
        <f aca="false">SUM(B12:M12)</f>
        <v>9182</v>
      </c>
      <c r="O12" s="8" t="n">
        <f aca="false">IFERROR(N12/12,0)</f>
        <v>765.166666666667</v>
      </c>
    </row>
    <row r="13" customFormat="false" ht="19.5" hidden="false" customHeight="true" outlineLevel="0" collapsed="false">
      <c r="A13" s="10" t="s">
        <v>26</v>
      </c>
      <c r="B13" s="10" t="n">
        <f aca="false">SUM(B6:B12)</f>
        <v>5903</v>
      </c>
      <c r="C13" s="10" t="n">
        <f aca="false">SUM(C6:C12)</f>
        <v>9549</v>
      </c>
      <c r="D13" s="10" t="n">
        <f aca="false">SUM(D6:D12)</f>
        <v>9155</v>
      </c>
      <c r="E13" s="10" t="n">
        <f aca="false">SUM(E6:E12)</f>
        <v>8130</v>
      </c>
      <c r="F13" s="11" t="n">
        <f aca="false">SUM(F6:F12)</f>
        <v>7881</v>
      </c>
      <c r="G13" s="10" t="n">
        <f aca="false">SUM(G6:G12)</f>
        <v>12957</v>
      </c>
      <c r="H13" s="10" t="n">
        <f aca="false">SUM(H6:H12)</f>
        <v>3387</v>
      </c>
      <c r="I13" s="10" t="n">
        <f aca="false">SUM(I6:I12)</f>
        <v>5371</v>
      </c>
      <c r="J13" s="10" t="n">
        <f aca="false">SUM(J6:J12)</f>
        <v>5371</v>
      </c>
      <c r="K13" s="10" t="n">
        <f aca="false">SUM(K6:K12)</f>
        <v>5371</v>
      </c>
      <c r="L13" s="10" t="n">
        <f aca="false">SUM(L6:L12)</f>
        <v>5371</v>
      </c>
      <c r="M13" s="10" t="n">
        <f aca="false">SUM(M6:M12)</f>
        <v>5371</v>
      </c>
      <c r="N13" s="10" t="n">
        <f aca="false">SUM(N6:N12)</f>
        <v>61137</v>
      </c>
      <c r="O13" s="10" t="n">
        <f aca="false">IFERROR(N13/12,0)</f>
        <v>5094.75</v>
      </c>
    </row>
    <row r="14" customFormat="false" ht="19.5" hidden="false" customHeight="true" outlineLevel="0" collapsed="false">
      <c r="A14" s="6" t="s">
        <v>27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customFormat="false" ht="18" hidden="false" customHeight="true" outlineLevel="0" collapsed="false">
      <c r="A15" s="7" t="s">
        <v>28</v>
      </c>
      <c r="B15" s="8" t="n">
        <v>154</v>
      </c>
      <c r="C15" s="8" t="n">
        <v>141</v>
      </c>
      <c r="D15" s="8" t="n">
        <v>141</v>
      </c>
      <c r="E15" s="8" t="n">
        <v>142</v>
      </c>
      <c r="F15" s="9" t="n">
        <v>142</v>
      </c>
      <c r="G15" s="8" t="n">
        <v>162</v>
      </c>
      <c r="H15" s="8" t="n">
        <v>142</v>
      </c>
      <c r="I15" s="8" t="n">
        <v>134</v>
      </c>
      <c r="J15" s="8" t="n">
        <v>134</v>
      </c>
      <c r="K15" s="8" t="n">
        <v>134</v>
      </c>
      <c r="L15" s="8" t="n">
        <v>134</v>
      </c>
      <c r="M15" s="8" t="n">
        <v>134</v>
      </c>
      <c r="N15" s="8" t="n">
        <f aca="false">SUM(B15:M15)</f>
        <v>1694</v>
      </c>
      <c r="O15" s="8" t="n">
        <f aca="false">IFERROR(N15/12,0)</f>
        <v>141.166666666667</v>
      </c>
    </row>
    <row r="16" customFormat="false" ht="18" hidden="false" customHeight="true" outlineLevel="0" collapsed="false">
      <c r="A16" s="7" t="s">
        <v>29</v>
      </c>
      <c r="B16" s="8" t="n">
        <v>35</v>
      </c>
      <c r="C16" s="8" t="n">
        <v>35</v>
      </c>
      <c r="D16" s="8" t="n">
        <v>35</v>
      </c>
      <c r="E16" s="8" t="n">
        <v>35</v>
      </c>
      <c r="F16" s="9" t="n">
        <v>35</v>
      </c>
      <c r="G16" s="8" t="n">
        <v>35</v>
      </c>
      <c r="H16" s="8" t="n">
        <v>38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f aca="false">SUM(B16:M16)</f>
        <v>423</v>
      </c>
      <c r="O16" s="8" t="n">
        <f aca="false">IFERROR(N16/12,0)</f>
        <v>35.25</v>
      </c>
    </row>
    <row r="17" customFormat="false" ht="18" hidden="false" customHeight="true" outlineLevel="0" collapsed="false">
      <c r="A17" s="7" t="s">
        <v>30</v>
      </c>
      <c r="B17" s="8" t="n">
        <v>81</v>
      </c>
      <c r="C17" s="8" t="n">
        <v>81</v>
      </c>
      <c r="D17" s="8" t="n">
        <v>81</v>
      </c>
      <c r="E17" s="8"/>
      <c r="F17" s="9" t="n">
        <v>81</v>
      </c>
      <c r="G17" s="8" t="n">
        <v>81</v>
      </c>
      <c r="H17" s="8" t="n">
        <v>81</v>
      </c>
      <c r="I17" s="8" t="n">
        <v>81</v>
      </c>
      <c r="J17" s="8" t="n">
        <v>81</v>
      </c>
      <c r="K17" s="8" t="n">
        <v>81</v>
      </c>
      <c r="L17" s="8" t="n">
        <v>81</v>
      </c>
      <c r="M17" s="8" t="n">
        <v>81</v>
      </c>
      <c r="N17" s="8" t="n">
        <f aca="false">SUM(B17:M17)</f>
        <v>891</v>
      </c>
      <c r="O17" s="8" t="n">
        <f aca="false">IFERROR(N17/12,0)</f>
        <v>74.25</v>
      </c>
    </row>
    <row r="18" customFormat="false" ht="18" hidden="false" customHeight="true" outlineLevel="0" collapsed="false">
      <c r="A18" s="7" t="s">
        <v>31</v>
      </c>
      <c r="B18" s="8" t="n">
        <v>60</v>
      </c>
      <c r="C18" s="8" t="n">
        <v>65</v>
      </c>
      <c r="D18" s="8" t="n">
        <v>60</v>
      </c>
      <c r="E18" s="8" t="n">
        <v>60</v>
      </c>
      <c r="F18" s="9" t="n">
        <v>60</v>
      </c>
      <c r="G18" s="8" t="n">
        <v>60</v>
      </c>
      <c r="H18" s="8" t="n">
        <v>60</v>
      </c>
      <c r="I18" s="8" t="n">
        <v>60</v>
      </c>
      <c r="J18" s="8" t="n">
        <v>60</v>
      </c>
      <c r="K18" s="8" t="n">
        <v>60</v>
      </c>
      <c r="L18" s="8" t="n">
        <v>60</v>
      </c>
      <c r="M18" s="8" t="n">
        <v>60</v>
      </c>
      <c r="N18" s="8" t="n">
        <f aca="false">SUM(B18:M18)</f>
        <v>725</v>
      </c>
      <c r="O18" s="8" t="n">
        <f aca="false">IFERROR(N18/12,0)</f>
        <v>60.4166666666667</v>
      </c>
    </row>
    <row r="19" customFormat="false" ht="18" hidden="false" customHeight="true" outlineLevel="0" collapsed="false">
      <c r="A19" s="7" t="s">
        <v>32</v>
      </c>
      <c r="B19" s="8" t="n">
        <v>74</v>
      </c>
      <c r="C19" s="8" t="n">
        <v>64</v>
      </c>
      <c r="D19" s="8" t="n">
        <v>64</v>
      </c>
      <c r="E19" s="8" t="n">
        <v>70</v>
      </c>
      <c r="F19" s="9" t="n">
        <v>92</v>
      </c>
      <c r="G19" s="8" t="n">
        <v>86</v>
      </c>
      <c r="H19" s="8" t="n">
        <v>92</v>
      </c>
      <c r="I19" s="8" t="n">
        <v>66</v>
      </c>
      <c r="J19" s="8" t="n">
        <v>66</v>
      </c>
      <c r="K19" s="8" t="n">
        <v>66</v>
      </c>
      <c r="L19" s="8" t="n">
        <v>66</v>
      </c>
      <c r="M19" s="8" t="n">
        <v>66</v>
      </c>
      <c r="N19" s="8" t="n">
        <f aca="false">SUM(B19:M19)</f>
        <v>872</v>
      </c>
      <c r="O19" s="8" t="n">
        <f aca="false">IFERROR(N19/12,0)</f>
        <v>72.6666666666667</v>
      </c>
    </row>
    <row r="20" customFormat="false" ht="18" hidden="false" customHeight="true" outlineLevel="0" collapsed="false">
      <c r="A20" s="7" t="s">
        <v>33</v>
      </c>
      <c r="B20" s="8"/>
      <c r="C20" s="8" t="n">
        <v>561</v>
      </c>
      <c r="D20" s="8"/>
      <c r="E20" s="8" t="n">
        <v>377</v>
      </c>
      <c r="F20" s="9" t="n">
        <v>173</v>
      </c>
      <c r="G20" s="8" t="n">
        <v>159</v>
      </c>
      <c r="H20" s="8" t="n">
        <v>206</v>
      </c>
      <c r="I20" s="8" t="n">
        <v>235</v>
      </c>
      <c r="J20" s="8" t="n">
        <v>235</v>
      </c>
      <c r="K20" s="8" t="n">
        <v>235</v>
      </c>
      <c r="L20" s="8" t="n">
        <v>235</v>
      </c>
      <c r="M20" s="8" t="n">
        <v>235</v>
      </c>
      <c r="N20" s="8" t="n">
        <f aca="false">SUM(B20:M20)</f>
        <v>2651</v>
      </c>
      <c r="O20" s="8" t="n">
        <f aca="false">IFERROR(N20/12,0)</f>
        <v>220.916666666667</v>
      </c>
    </row>
    <row r="21" customFormat="false" ht="18" hidden="false" customHeight="true" outlineLevel="0" collapsed="false">
      <c r="A21" s="7" t="s">
        <v>34</v>
      </c>
      <c r="B21" s="8" t="n">
        <v>254</v>
      </c>
      <c r="C21" s="8" t="n">
        <v>254</v>
      </c>
      <c r="D21" s="8" t="n">
        <v>254</v>
      </c>
      <c r="E21" s="8" t="n">
        <v>254</v>
      </c>
      <c r="F21" s="9" t="n">
        <v>254</v>
      </c>
      <c r="G21" s="8" t="n">
        <v>254</v>
      </c>
      <c r="H21" s="8" t="n">
        <v>254</v>
      </c>
      <c r="I21" s="8" t="n">
        <v>254</v>
      </c>
      <c r="J21" s="8" t="n">
        <v>254</v>
      </c>
      <c r="K21" s="8" t="n">
        <v>254</v>
      </c>
      <c r="L21" s="8" t="n">
        <v>254</v>
      </c>
      <c r="M21" s="8" t="n">
        <v>254</v>
      </c>
      <c r="N21" s="8" t="n">
        <f aca="false">SUM(B21:M21)</f>
        <v>3048</v>
      </c>
      <c r="O21" s="8" t="n">
        <f aca="false">IFERROR(N21/12,0)</f>
        <v>254</v>
      </c>
    </row>
    <row r="22" customFormat="false" ht="18" hidden="false" customHeight="true" outlineLevel="0" collapsed="false">
      <c r="A22" s="7" t="s">
        <v>35</v>
      </c>
      <c r="B22" s="8" t="n">
        <v>147</v>
      </c>
      <c r="C22" s="8" t="n">
        <v>147</v>
      </c>
      <c r="D22" s="8" t="n">
        <v>147</v>
      </c>
      <c r="E22" s="8" t="n">
        <v>147</v>
      </c>
      <c r="F22" s="9" t="n">
        <v>147</v>
      </c>
      <c r="G22" s="8" t="n">
        <v>147</v>
      </c>
      <c r="H22" s="8" t="n">
        <v>147</v>
      </c>
      <c r="I22" s="8" t="n">
        <v>147</v>
      </c>
      <c r="J22" s="8" t="n">
        <v>147</v>
      </c>
      <c r="K22" s="8" t="n">
        <v>147</v>
      </c>
      <c r="L22" s="8" t="n">
        <v>147</v>
      </c>
      <c r="M22" s="8" t="n">
        <v>147</v>
      </c>
      <c r="N22" s="8" t="n">
        <f aca="false">SUM(B22:M22)</f>
        <v>1764</v>
      </c>
      <c r="O22" s="8" t="n">
        <f aca="false">IFERROR(N22/12,0)</f>
        <v>147</v>
      </c>
    </row>
    <row r="23" customFormat="false" ht="18" hidden="false" customHeight="true" outlineLevel="0" collapsed="false">
      <c r="A23" s="7" t="s">
        <v>36</v>
      </c>
      <c r="B23" s="8" t="n">
        <v>164</v>
      </c>
      <c r="C23" s="8" t="n">
        <v>282</v>
      </c>
      <c r="D23" s="8" t="n">
        <v>282</v>
      </c>
      <c r="E23" s="8" t="n">
        <v>282</v>
      </c>
      <c r="F23" s="9" t="n">
        <v>283</v>
      </c>
      <c r="G23" s="8" t="n">
        <v>282</v>
      </c>
      <c r="H23" s="8" t="n">
        <v>103</v>
      </c>
      <c r="I23" s="8"/>
      <c r="J23" s="8" t="n">
        <v>282</v>
      </c>
      <c r="K23" s="8" t="n">
        <v>282</v>
      </c>
      <c r="L23" s="8" t="n">
        <v>282</v>
      </c>
      <c r="M23" s="8" t="n">
        <v>282</v>
      </c>
      <c r="N23" s="8" t="n">
        <f aca="false">SUM(B23:M23)</f>
        <v>2806</v>
      </c>
      <c r="O23" s="8" t="n">
        <f aca="false">IFERROR(N23/12,0)</f>
        <v>233.833333333333</v>
      </c>
    </row>
    <row r="24" customFormat="false" ht="18" hidden="false" customHeight="true" outlineLevel="0" collapsed="false">
      <c r="A24" s="7" t="s">
        <v>37</v>
      </c>
      <c r="B24" s="8" t="n">
        <v>60</v>
      </c>
      <c r="C24" s="8" t="n">
        <v>60</v>
      </c>
      <c r="D24" s="8" t="n">
        <v>60</v>
      </c>
      <c r="E24" s="8" t="n">
        <v>60</v>
      </c>
      <c r="F24" s="9" t="n">
        <v>60</v>
      </c>
      <c r="G24" s="8" t="n">
        <v>60</v>
      </c>
      <c r="H24" s="8" t="n">
        <v>60</v>
      </c>
      <c r="I24" s="8"/>
      <c r="J24" s="8" t="n">
        <v>60</v>
      </c>
      <c r="K24" s="8" t="n">
        <v>60</v>
      </c>
      <c r="L24" s="8" t="n">
        <v>60</v>
      </c>
      <c r="M24" s="8" t="n">
        <v>60</v>
      </c>
      <c r="N24" s="8" t="n">
        <f aca="false">SUM(B24:M24)</f>
        <v>660</v>
      </c>
      <c r="O24" s="8" t="n">
        <f aca="false">IFERROR(N24/12,0)</f>
        <v>55</v>
      </c>
    </row>
    <row r="25" customFormat="false" ht="18" hidden="false" customHeight="true" outlineLevel="0" collapsed="false">
      <c r="A25" s="7" t="s">
        <v>38</v>
      </c>
      <c r="B25" s="8" t="n">
        <v>219</v>
      </c>
      <c r="C25" s="8" t="n">
        <v>157</v>
      </c>
      <c r="D25" s="8" t="n">
        <v>131</v>
      </c>
      <c r="E25" s="8" t="n">
        <v>14</v>
      </c>
      <c r="F25" s="9" t="n">
        <v>190</v>
      </c>
      <c r="G25" s="8" t="n">
        <v>43</v>
      </c>
      <c r="H25" s="8" t="n">
        <v>123</v>
      </c>
      <c r="I25" s="8" t="n">
        <v>130</v>
      </c>
      <c r="J25" s="8" t="n">
        <v>130</v>
      </c>
      <c r="K25" s="8" t="n">
        <v>130</v>
      </c>
      <c r="L25" s="8" t="n">
        <v>130</v>
      </c>
      <c r="M25" s="8" t="n">
        <v>130</v>
      </c>
      <c r="N25" s="8" t="n">
        <f aca="false">SUM(B25:M25)</f>
        <v>1527</v>
      </c>
      <c r="O25" s="8" t="n">
        <f aca="false">IFERROR(N25/12,0)</f>
        <v>127.25</v>
      </c>
    </row>
    <row r="26" customFormat="false" ht="18" hidden="false" customHeight="true" outlineLevel="0" collapsed="false">
      <c r="A26" s="7" t="s">
        <v>39</v>
      </c>
      <c r="B26" s="8" t="n">
        <v>700</v>
      </c>
      <c r="C26" s="8"/>
      <c r="D26" s="8"/>
      <c r="E26" s="8" t="n">
        <v>1400</v>
      </c>
      <c r="F26" s="9"/>
      <c r="G26" s="8" t="n">
        <v>1000</v>
      </c>
      <c r="H26" s="8" t="n">
        <v>4</v>
      </c>
      <c r="I26" s="8"/>
      <c r="J26" s="8"/>
      <c r="K26" s="8"/>
      <c r="L26" s="8"/>
      <c r="M26" s="8"/>
      <c r="N26" s="8" t="n">
        <f aca="false">SUM(B26:M26)</f>
        <v>3104</v>
      </c>
      <c r="O26" s="8" t="n">
        <f aca="false">IFERROR(N26/12,0)</f>
        <v>258.666666666667</v>
      </c>
    </row>
    <row r="27" customFormat="false" ht="18" hidden="false" customHeight="true" outlineLevel="0" collapsed="false">
      <c r="A27" s="7" t="s">
        <v>40</v>
      </c>
      <c r="B27" s="8"/>
      <c r="C27" s="8"/>
      <c r="D27" s="8"/>
      <c r="E27" s="8" t="n">
        <v>494</v>
      </c>
      <c r="F27" s="9"/>
      <c r="G27" s="8" t="n">
        <v>466</v>
      </c>
      <c r="H27" s="8"/>
      <c r="I27" s="8"/>
      <c r="J27" s="8" t="n">
        <v>165</v>
      </c>
      <c r="K27" s="8" t="n">
        <v>165</v>
      </c>
      <c r="L27" s="8" t="n">
        <v>165</v>
      </c>
      <c r="M27" s="8" t="n">
        <v>165</v>
      </c>
      <c r="N27" s="8" t="n">
        <f aca="false">SUM(B27:M27)</f>
        <v>1620</v>
      </c>
      <c r="O27" s="8" t="n">
        <f aca="false">IFERROR(N27/12,0)</f>
        <v>135</v>
      </c>
    </row>
    <row r="28" customFormat="false" ht="18" hidden="false" customHeight="true" outlineLevel="0" collapsed="false">
      <c r="A28" s="7" t="s">
        <v>41</v>
      </c>
      <c r="B28" s="8"/>
      <c r="C28" s="8"/>
      <c r="D28" s="8"/>
      <c r="E28" s="8" t="n">
        <v>1500</v>
      </c>
      <c r="F28" s="9" t="n">
        <v>200</v>
      </c>
      <c r="G28" s="8" t="n">
        <v>500</v>
      </c>
      <c r="H28" s="8"/>
      <c r="I28" s="8"/>
      <c r="J28" s="8"/>
      <c r="K28" s="8"/>
      <c r="L28" s="8"/>
      <c r="M28" s="8"/>
      <c r="N28" s="8" t="n">
        <f aca="false">SUM(B28:M28)</f>
        <v>2200</v>
      </c>
      <c r="O28" s="8" t="n">
        <f aca="false">IFERROR(N28/12,0)</f>
        <v>183.333333333333</v>
      </c>
    </row>
    <row r="29" customFormat="false" ht="19.5" hidden="false" customHeight="true" outlineLevel="0" collapsed="false">
      <c r="A29" s="10" t="s">
        <v>42</v>
      </c>
      <c r="B29" s="10" t="n">
        <f aca="false">SUM(B15:B28)</f>
        <v>1948</v>
      </c>
      <c r="C29" s="10" t="n">
        <f aca="false">SUM(C15:C28)</f>
        <v>1847</v>
      </c>
      <c r="D29" s="10" t="n">
        <f aca="false">SUM(D15:D28)</f>
        <v>1255</v>
      </c>
      <c r="E29" s="10" t="n">
        <f aca="false">SUM(E15:E28)</f>
        <v>4835</v>
      </c>
      <c r="F29" s="11" t="n">
        <f aca="false">SUM(F15:F28)</f>
        <v>1717</v>
      </c>
      <c r="G29" s="10" t="n">
        <f aca="false">SUM(G15:G28)</f>
        <v>3335</v>
      </c>
      <c r="H29" s="10" t="n">
        <f aca="false">SUM(H15:H28)</f>
        <v>1310</v>
      </c>
      <c r="I29" s="10" t="n">
        <f aca="false">SUM(I15:I28)</f>
        <v>1142</v>
      </c>
      <c r="J29" s="10" t="n">
        <f aca="false">SUM(J15:J28)</f>
        <v>1649</v>
      </c>
      <c r="K29" s="10" t="n">
        <f aca="false">SUM(K15:K28)</f>
        <v>1649</v>
      </c>
      <c r="L29" s="10" t="n">
        <f aca="false">SUM(L15:L28)</f>
        <v>1649</v>
      </c>
      <c r="M29" s="10" t="n">
        <f aca="false">SUM(M15:M28)</f>
        <v>1649</v>
      </c>
      <c r="N29" s="10" t="n">
        <f aca="false">SUM(N15:N28)</f>
        <v>23985</v>
      </c>
      <c r="O29" s="10" t="n">
        <f aca="false">IFERROR(N29/12,0)</f>
        <v>1998.75</v>
      </c>
    </row>
    <row r="30" customFormat="false" ht="19.5" hidden="false" customHeight="true" outlineLevel="0" collapsed="false">
      <c r="A30" s="6" t="s">
        <v>43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customFormat="false" ht="18" hidden="false" customHeight="true" outlineLevel="0" collapsed="false">
      <c r="A31" s="7" t="s">
        <v>44</v>
      </c>
      <c r="B31" s="8" t="n">
        <v>250</v>
      </c>
      <c r="C31" s="8" t="n">
        <v>230</v>
      </c>
      <c r="D31" s="8" t="n">
        <v>260</v>
      </c>
      <c r="E31" s="8" t="n">
        <v>200</v>
      </c>
      <c r="F31" s="9" t="n">
        <v>834</v>
      </c>
      <c r="G31" s="8" t="n">
        <v>569</v>
      </c>
      <c r="H31" s="8" t="n">
        <v>801</v>
      </c>
      <c r="I31" s="8" t="n">
        <v>235</v>
      </c>
      <c r="J31" s="8" t="n">
        <v>235</v>
      </c>
      <c r="K31" s="8" t="n">
        <v>235</v>
      </c>
      <c r="L31" s="8" t="n">
        <v>235</v>
      </c>
      <c r="M31" s="8" t="n">
        <v>235</v>
      </c>
      <c r="N31" s="8" t="n">
        <f aca="false">SUM(B31:M31)</f>
        <v>4319</v>
      </c>
      <c r="O31" s="8" t="n">
        <f aca="false">IFERROR(N31/12,0)</f>
        <v>359.916666666667</v>
      </c>
    </row>
    <row r="32" customFormat="false" ht="18" hidden="false" customHeight="true" outlineLevel="0" collapsed="false">
      <c r="A32" s="7" t="s">
        <v>45</v>
      </c>
      <c r="B32" s="8" t="n">
        <v>450</v>
      </c>
      <c r="C32" s="8" t="n">
        <v>380</v>
      </c>
      <c r="D32" s="8" t="n">
        <v>480</v>
      </c>
      <c r="E32" s="8" t="n">
        <v>500</v>
      </c>
      <c r="F32" s="9" t="n">
        <v>312</v>
      </c>
      <c r="G32" s="8" t="n">
        <v>347</v>
      </c>
      <c r="H32" s="8" t="n">
        <v>579</v>
      </c>
      <c r="I32" s="8" t="n">
        <v>453</v>
      </c>
      <c r="J32" s="8" t="n">
        <v>453</v>
      </c>
      <c r="K32" s="8" t="n">
        <v>453</v>
      </c>
      <c r="L32" s="8" t="n">
        <v>453</v>
      </c>
      <c r="M32" s="8" t="n">
        <v>453</v>
      </c>
      <c r="N32" s="8" t="n">
        <f aca="false">SUM(B32:M32)</f>
        <v>5313</v>
      </c>
      <c r="O32" s="8" t="n">
        <f aca="false">IFERROR(N32/12,0)</f>
        <v>442.75</v>
      </c>
    </row>
    <row r="33" customFormat="false" ht="18" hidden="false" customHeight="true" outlineLevel="0" collapsed="false">
      <c r="A33" s="7" t="s">
        <v>46</v>
      </c>
      <c r="B33" s="8" t="n">
        <v>850</v>
      </c>
      <c r="C33" s="8" t="n">
        <v>520</v>
      </c>
      <c r="D33" s="8" t="n">
        <v>380</v>
      </c>
      <c r="E33" s="8" t="n">
        <v>620</v>
      </c>
      <c r="F33" s="9" t="n">
        <v>632</v>
      </c>
      <c r="G33" s="8" t="n">
        <v>546</v>
      </c>
      <c r="H33" s="8" t="n">
        <v>876</v>
      </c>
      <c r="I33" s="8" t="n">
        <v>593</v>
      </c>
      <c r="J33" s="8" t="n">
        <v>593</v>
      </c>
      <c r="K33" s="8" t="n">
        <v>593</v>
      </c>
      <c r="L33" s="8" t="n">
        <v>593</v>
      </c>
      <c r="M33" s="8" t="n">
        <v>593</v>
      </c>
      <c r="N33" s="8" t="n">
        <f aca="false">SUM(B33:M33)</f>
        <v>7389</v>
      </c>
      <c r="O33" s="8" t="n">
        <f aca="false">IFERROR(N33/12,0)</f>
        <v>615.75</v>
      </c>
    </row>
    <row r="34" customFormat="false" ht="18" hidden="false" customHeight="true" outlineLevel="0" collapsed="false">
      <c r="A34" s="7" t="s">
        <v>47</v>
      </c>
      <c r="B34" s="8" t="n">
        <v>200</v>
      </c>
      <c r="C34" s="8" t="n">
        <v>80</v>
      </c>
      <c r="D34" s="8" t="n">
        <v>45</v>
      </c>
      <c r="E34" s="8" t="n">
        <v>120</v>
      </c>
      <c r="F34" s="9" t="n">
        <v>190</v>
      </c>
      <c r="G34" s="8" t="n">
        <v>66</v>
      </c>
      <c r="H34" s="8" t="n">
        <v>44</v>
      </c>
      <c r="I34" s="8" t="n">
        <v>111</v>
      </c>
      <c r="J34" s="8" t="n">
        <v>111</v>
      </c>
      <c r="K34" s="8" t="n">
        <v>111</v>
      </c>
      <c r="L34" s="8" t="n">
        <v>111</v>
      </c>
      <c r="M34" s="8" t="n">
        <v>111</v>
      </c>
      <c r="N34" s="8" t="n">
        <f aca="false">SUM(B34:M34)</f>
        <v>1300</v>
      </c>
      <c r="O34" s="8" t="n">
        <f aca="false">IFERROR(N34/12,0)</f>
        <v>108.333333333333</v>
      </c>
    </row>
    <row r="35" customFormat="false" ht="18" hidden="false" customHeight="true" outlineLevel="0" collapsed="false">
      <c r="A35" s="7" t="s">
        <v>48</v>
      </c>
      <c r="B35" s="8" t="n">
        <v>200</v>
      </c>
      <c r="C35" s="8" t="n">
        <v>280</v>
      </c>
      <c r="D35" s="8" t="n">
        <v>480</v>
      </c>
      <c r="E35" s="8" t="n">
        <v>380</v>
      </c>
      <c r="F35" s="9" t="n">
        <v>432</v>
      </c>
      <c r="G35" s="8" t="n">
        <v>251</v>
      </c>
      <c r="H35" s="8" t="n">
        <v>559</v>
      </c>
      <c r="I35" s="8" t="n">
        <v>335</v>
      </c>
      <c r="J35" s="8" t="n">
        <v>335</v>
      </c>
      <c r="K35" s="8" t="n">
        <v>335</v>
      </c>
      <c r="L35" s="8" t="n">
        <v>335</v>
      </c>
      <c r="M35" s="8" t="n">
        <v>335</v>
      </c>
      <c r="N35" s="8" t="n">
        <f aca="false">SUM(B35:M35)</f>
        <v>4257</v>
      </c>
      <c r="O35" s="8" t="n">
        <f aca="false">IFERROR(N35/12,0)</f>
        <v>354.75</v>
      </c>
    </row>
    <row r="36" customFormat="false" ht="18" hidden="false" customHeight="true" outlineLevel="0" collapsed="false">
      <c r="A36" s="7" t="s">
        <v>49</v>
      </c>
      <c r="B36" s="8" t="n">
        <v>80</v>
      </c>
      <c r="C36" s="8" t="n">
        <v>290</v>
      </c>
      <c r="D36" s="8" t="n">
        <v>245</v>
      </c>
      <c r="E36" s="8" t="n">
        <v>85</v>
      </c>
      <c r="F36" s="9" t="n">
        <v>20</v>
      </c>
      <c r="G36" s="8" t="n">
        <v>1500</v>
      </c>
      <c r="H36" s="8" t="n">
        <v>395</v>
      </c>
      <c r="I36" s="8" t="n">
        <v>1500</v>
      </c>
      <c r="J36" s="8"/>
      <c r="K36" s="8"/>
      <c r="L36" s="8"/>
      <c r="M36" s="8"/>
      <c r="N36" s="8" t="n">
        <f aca="false">SUM(B36:M36)</f>
        <v>4115</v>
      </c>
      <c r="O36" s="8" t="n">
        <f aca="false">IFERROR(N36/12,0)</f>
        <v>342.916666666667</v>
      </c>
    </row>
    <row r="37" customFormat="false" ht="18" hidden="false" customHeight="true" outlineLevel="0" collapsed="false">
      <c r="A37" s="7" t="s">
        <v>50</v>
      </c>
      <c r="B37" s="8" t="n">
        <v>396</v>
      </c>
      <c r="C37" s="8" t="n">
        <v>375</v>
      </c>
      <c r="D37" s="8" t="n">
        <v>851</v>
      </c>
      <c r="E37" s="8" t="n">
        <v>1276</v>
      </c>
      <c r="F37" s="9" t="n">
        <v>401</v>
      </c>
      <c r="G37" s="8" t="n">
        <v>1542</v>
      </c>
      <c r="H37" s="8" t="n">
        <v>1528</v>
      </c>
      <c r="I37" s="8" t="n">
        <v>725</v>
      </c>
      <c r="J37" s="8" t="n">
        <v>725</v>
      </c>
      <c r="K37" s="8" t="n">
        <v>725</v>
      </c>
      <c r="L37" s="8" t="n">
        <v>725</v>
      </c>
      <c r="M37" s="8" t="n">
        <v>725</v>
      </c>
      <c r="N37" s="8" t="n">
        <f aca="false">SUM(B37:M37)</f>
        <v>9994</v>
      </c>
      <c r="O37" s="8" t="n">
        <f aca="false">IFERROR(N37/12,0)</f>
        <v>832.833333333333</v>
      </c>
    </row>
    <row r="38" customFormat="false" ht="19.5" hidden="false" customHeight="true" outlineLevel="0" collapsed="false">
      <c r="A38" s="10" t="s">
        <v>51</v>
      </c>
      <c r="B38" s="10" t="n">
        <f aca="false">SUM(B31:B37)</f>
        <v>2426</v>
      </c>
      <c r="C38" s="10" t="n">
        <f aca="false">SUM(C31:C37)</f>
        <v>2155</v>
      </c>
      <c r="D38" s="10" t="n">
        <f aca="false">SUM(D31:D37)</f>
        <v>2741</v>
      </c>
      <c r="E38" s="10" t="n">
        <f aca="false">SUM(E31:E37)</f>
        <v>3181</v>
      </c>
      <c r="F38" s="11" t="n">
        <f aca="false">SUM(F31:F37)</f>
        <v>2821</v>
      </c>
      <c r="G38" s="10" t="n">
        <f aca="false">SUM(G31:G37)</f>
        <v>4821</v>
      </c>
      <c r="H38" s="10" t="n">
        <f aca="false">SUM(H31:H37)</f>
        <v>4782</v>
      </c>
      <c r="I38" s="10" t="n">
        <f aca="false">SUM(I31:I37)</f>
        <v>3952</v>
      </c>
      <c r="J38" s="10" t="n">
        <f aca="false">SUM(J31:J37)</f>
        <v>2452</v>
      </c>
      <c r="K38" s="10" t="n">
        <f aca="false">SUM(K31:K37)</f>
        <v>2452</v>
      </c>
      <c r="L38" s="10" t="n">
        <f aca="false">SUM(L31:L37)</f>
        <v>2452</v>
      </c>
      <c r="M38" s="10" t="n">
        <f aca="false">SUM(M31:M37)</f>
        <v>2452</v>
      </c>
      <c r="N38" s="10" t="n">
        <f aca="false">SUM(N31:N37)</f>
        <v>36687</v>
      </c>
      <c r="O38" s="10" t="n">
        <f aca="false">IFERROR(N38/12,0)</f>
        <v>3057.25</v>
      </c>
    </row>
    <row r="39" customFormat="false" ht="21.75" hidden="false" customHeight="true" outlineLevel="0" collapsed="false">
      <c r="A39" s="12" t="s">
        <v>52</v>
      </c>
      <c r="B39" s="12" t="n">
        <f aca="false">B29+B38</f>
        <v>4374</v>
      </c>
      <c r="C39" s="12" t="n">
        <f aca="false">C29+C38</f>
        <v>4002</v>
      </c>
      <c r="D39" s="12" t="n">
        <f aca="false">D29+D38</f>
        <v>3996</v>
      </c>
      <c r="E39" s="12" t="n">
        <f aca="false">E29+E38</f>
        <v>8016</v>
      </c>
      <c r="F39" s="12" t="n">
        <f aca="false">F29+F38</f>
        <v>4538</v>
      </c>
      <c r="G39" s="12" t="n">
        <f aca="false">G29+G38</f>
        <v>8156</v>
      </c>
      <c r="H39" s="12" t="n">
        <f aca="false">H29+H38</f>
        <v>6092</v>
      </c>
      <c r="I39" s="12" t="n">
        <f aca="false">I29+I38</f>
        <v>5094</v>
      </c>
      <c r="J39" s="12" t="n">
        <f aca="false">J29+J38</f>
        <v>4101</v>
      </c>
      <c r="K39" s="12" t="n">
        <f aca="false">K29+K38</f>
        <v>4101</v>
      </c>
      <c r="L39" s="12" t="n">
        <f aca="false">L29+L38</f>
        <v>4101</v>
      </c>
      <c r="M39" s="12" t="n">
        <f aca="false">M29+M38</f>
        <v>4101</v>
      </c>
      <c r="N39" s="12" t="n">
        <f aca="false">N29+N38</f>
        <v>60672</v>
      </c>
      <c r="O39" s="12" t="n">
        <f aca="false">IFERROR(N39/12,0)</f>
        <v>5056</v>
      </c>
    </row>
    <row r="40" customFormat="false" ht="21.75" hidden="false" customHeight="true" outlineLevel="0" collapsed="false">
      <c r="A40" s="13" t="s">
        <v>53</v>
      </c>
      <c r="B40" s="13" t="n">
        <f aca="false">B13-B29-B38</f>
        <v>1529</v>
      </c>
      <c r="C40" s="13" t="n">
        <f aca="false">C13-C29-C38</f>
        <v>5547</v>
      </c>
      <c r="D40" s="13" t="n">
        <f aca="false">D13-D29-D38</f>
        <v>5159</v>
      </c>
      <c r="E40" s="13" t="n">
        <f aca="false">E13-E29-E38</f>
        <v>114</v>
      </c>
      <c r="F40" s="13" t="n">
        <f aca="false">F13-F29-F38</f>
        <v>3343</v>
      </c>
      <c r="G40" s="13" t="n">
        <f aca="false">G13-G29-G38</f>
        <v>4801</v>
      </c>
      <c r="H40" s="13" t="n">
        <f aca="false">H13-H29-H38</f>
        <v>-2705</v>
      </c>
      <c r="I40" s="13" t="n">
        <f aca="false">I13-I29-I38</f>
        <v>277</v>
      </c>
      <c r="J40" s="13" t="n">
        <f aca="false">J13-J29-J38</f>
        <v>1270</v>
      </c>
      <c r="K40" s="13" t="n">
        <f aca="false">K13-K29-K38</f>
        <v>1270</v>
      </c>
      <c r="L40" s="13" t="n">
        <f aca="false">L13-L29-L38</f>
        <v>1270</v>
      </c>
      <c r="M40" s="13" t="n">
        <f aca="false">M13-M29-M38</f>
        <v>1270</v>
      </c>
      <c r="N40" s="13" t="n">
        <f aca="false">N13-N29-N38</f>
        <v>465</v>
      </c>
      <c r="O40" s="13" t="n">
        <f aca="false">IFERROR(N40/12,0)</f>
        <v>38.75</v>
      </c>
    </row>
    <row r="41" customFormat="false" ht="21.75" hidden="false" customHeight="true" outlineLevel="0" collapsed="false">
      <c r="A41" s="13" t="s">
        <v>54</v>
      </c>
      <c r="B41" s="13" t="n">
        <v>-29</v>
      </c>
      <c r="C41" s="13" t="n">
        <v>1540</v>
      </c>
      <c r="D41" s="13" t="n">
        <v>2525</v>
      </c>
      <c r="E41" s="13" t="n">
        <v>729</v>
      </c>
      <c r="F41" s="13" t="n">
        <v>934</v>
      </c>
      <c r="G41" s="13" t="n">
        <v>4978</v>
      </c>
      <c r="H41" s="13" t="n">
        <v>2355</v>
      </c>
      <c r="I41" s="13" t="n">
        <v>2632</v>
      </c>
      <c r="J41" s="13" t="n">
        <v>3902</v>
      </c>
      <c r="K41" s="13" t="n">
        <v>5172</v>
      </c>
      <c r="L41" s="13" t="n">
        <v>6442</v>
      </c>
      <c r="M41" s="13" t="n">
        <v>7712</v>
      </c>
    </row>
    <row r="42" customFormat="false" ht="21.75" hidden="false" customHeight="true" outlineLevel="0" collapsed="false"/>
    <row r="43" customFormat="false" ht="21.75" hidden="false" customHeight="true" outlineLevel="0" collapsed="false">
      <c r="A43" s="14" t="s">
        <v>55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customFormat="false" ht="15" hidden="false" customHeight="true" outlineLevel="0" collapsed="false">
      <c r="A44" s="13" t="s">
        <v>56</v>
      </c>
      <c r="B44" s="13" t="n">
        <f aca="false">B13-B29</f>
        <v>3955</v>
      </c>
      <c r="C44" s="13" t="n">
        <f aca="false">C13-C29</f>
        <v>7702</v>
      </c>
      <c r="D44" s="13" t="n">
        <f aca="false">D13-D29</f>
        <v>7900</v>
      </c>
      <c r="E44" s="13" t="n">
        <f aca="false">E13-E29</f>
        <v>3295</v>
      </c>
      <c r="F44" s="13" t="n">
        <f aca="false">F13-F29</f>
        <v>6164</v>
      </c>
      <c r="G44" s="13" t="n">
        <f aca="false">G13-G29</f>
        <v>9622</v>
      </c>
      <c r="H44" s="13" t="n">
        <f aca="false">H13-H29</f>
        <v>2077</v>
      </c>
      <c r="I44" s="13" t="n">
        <f aca="false">I13-I29</f>
        <v>4229</v>
      </c>
      <c r="J44" s="13" t="n">
        <f aca="false">J13-J29</f>
        <v>3722</v>
      </c>
      <c r="K44" s="13" t="n">
        <f aca="false">K13-K29</f>
        <v>3722</v>
      </c>
      <c r="L44" s="13" t="n">
        <f aca="false">L13-L29</f>
        <v>3722</v>
      </c>
      <c r="M44" s="13" t="n">
        <f aca="false">M13-M29</f>
        <v>3722</v>
      </c>
    </row>
    <row r="45" customFormat="false" ht="15" hidden="false" customHeight="true" outlineLevel="0" collapsed="false">
      <c r="A45" s="13" t="s">
        <v>57</v>
      </c>
      <c r="B45" s="13" t="n">
        <f aca="false">B40</f>
        <v>1529</v>
      </c>
      <c r="C45" s="13" t="n">
        <f aca="false">C40</f>
        <v>5547</v>
      </c>
      <c r="D45" s="13" t="n">
        <f aca="false">D40</f>
        <v>5159</v>
      </c>
      <c r="E45" s="13" t="n">
        <f aca="false">E40</f>
        <v>114</v>
      </c>
      <c r="F45" s="13" t="n">
        <f aca="false">F40</f>
        <v>3343</v>
      </c>
      <c r="G45" s="13" t="n">
        <f aca="false">G40</f>
        <v>4801</v>
      </c>
      <c r="H45" s="13" t="n">
        <f aca="false">H40</f>
        <v>-2705</v>
      </c>
      <c r="I45" s="13" t="n">
        <f aca="false">I40</f>
        <v>277</v>
      </c>
      <c r="J45" s="13" t="n">
        <f aca="false">J40</f>
        <v>1270</v>
      </c>
      <c r="K45" s="13" t="n">
        <f aca="false">K40</f>
        <v>1270</v>
      </c>
      <c r="L45" s="13" t="n">
        <f aca="false">L40</f>
        <v>1270</v>
      </c>
      <c r="M45" s="13" t="n">
        <f aca="false">M40</f>
        <v>1270</v>
      </c>
    </row>
  </sheetData>
  <mergeCells count="7">
    <mergeCell ref="A1:P1"/>
    <mergeCell ref="A2:P2"/>
    <mergeCell ref="A3:P3"/>
    <mergeCell ref="A5:M5"/>
    <mergeCell ref="A14:M14"/>
    <mergeCell ref="A30:M30"/>
    <mergeCell ref="A43:M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2026-06-12T09:12:54Z</dcterms:created>
  <dc:creator>openpyxl</dc:creator>
  <dc:description/>
  <dc:language>en-US</dc:language>
  <cp:lastModifiedBy>Audrey BELY</cp:lastModifiedBy>
  <dcterms:modified xsi:type="dcterms:W3CDTF">2026-08-18T09:59:33Z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