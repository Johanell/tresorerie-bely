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ésoreri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;[RED](#,##0 &quot;€&quot;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00"/>
      <sz val="10"/>
    </font>
    <font>
      <name val="Arial"/>
      <color rgb="00000066"/>
      <sz val="10"/>
    </font>
    <font>
      <name val="Arial"/>
      <b val="1"/>
      <color rgb="001F4E79"/>
      <sz val="10"/>
    </font>
    <font>
      <name val="Arial"/>
      <b val="1"/>
      <color rgb="00C00000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1A5276"/>
        <bgColor rgb="001A5276"/>
      </patternFill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843C0C"/>
        <bgColor rgb="00843C0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4" customWidth="1" min="15" max="15"/>
  </cols>
  <sheetData>
    <row r="1" ht="28" customHeight="1">
      <c r="A1" s="1" t="inlineStr">
        <is>
          <t>TRÉSORERIE 2026 — FAMILLE BELY</t>
        </is>
      </c>
    </row>
    <row r="2" ht="20" customHeight="1">
      <c r="A2" s="2" t="inlineStr">
        <is>
          <t>Jan–Avr : données réelles (relevés Caisse d'Épargne) │ Mai : données réelles │ Jun–Déc : prévisions</t>
        </is>
      </c>
    </row>
    <row r="3" ht="18" customHeight="1">
      <c r="A3" s="2" t="inlineStr">
        <is>
          <t>🔵 Texte bleu = valeur réelle saisie │ 🟡 Fond jaune = hypothèse modifiable │ Noir = formule automatique</t>
        </is>
      </c>
    </row>
    <row r="4" ht="35" customHeight="1">
      <c r="A4" s="3" t="inlineStr">
        <is>
          <t>POSTE</t>
        </is>
      </c>
      <c r="B4" s="4" t="inlineStr">
        <is>
          <t>Jan ✅ réel</t>
        </is>
      </c>
      <c r="C4" s="4" t="inlineStr">
        <is>
          <t>Fév ✅ réel</t>
        </is>
      </c>
      <c r="D4" s="4" t="inlineStr">
        <is>
          <t>Mar ✅ réel</t>
        </is>
      </c>
      <c r="E4" s="4" t="inlineStr">
        <is>
          <t>Avr ✅ réel</t>
        </is>
      </c>
      <c r="F4" s="4" t="inlineStr">
        <is>
          <t>Mai ✅ réel</t>
        </is>
      </c>
      <c r="G4" s="3" t="inlineStr">
        <is>
          <t>Juin 🔮 prévi</t>
        </is>
      </c>
      <c r="H4" s="3" t="inlineStr">
        <is>
          <t>Juil 🔮 prévi</t>
        </is>
      </c>
      <c r="I4" s="3" t="inlineStr">
        <is>
          <t>Août 🔮 prévi</t>
        </is>
      </c>
      <c r="J4" s="3" t="inlineStr">
        <is>
          <t>Sep 🔮 prévi</t>
        </is>
      </c>
      <c r="K4" s="3" t="inlineStr">
        <is>
          <t>Oct 🔮 prévi</t>
        </is>
      </c>
      <c r="L4" s="3" t="inlineStr">
        <is>
          <t>Nov 🔮 prévi</t>
        </is>
      </c>
      <c r="M4" s="3" t="inlineStr">
        <is>
          <t>Déc 🔮 prévi</t>
        </is>
      </c>
      <c r="N4" s="3" t="inlineStr">
        <is>
          <t>TOTAL Annuel</t>
        </is>
      </c>
      <c r="O4" s="3" t="inlineStr">
        <is>
          <t>MOY. /Mois</t>
        </is>
      </c>
    </row>
    <row r="5" ht="20" customHeight="1">
      <c r="A5" s="5" t="inlineStr">
        <is>
          <t>ENTRÉES — REVENUS</t>
        </is>
      </c>
    </row>
    <row r="6" ht="18" customHeight="1">
      <c r="A6" s="6" t="inlineStr">
        <is>
          <t xml:space="preserve"> Revenus Julien (salaire, frais, coaching, arbitrage)</t>
        </is>
      </c>
      <c r="B6" s="7" t="n">
        <v>2200</v>
      </c>
      <c r="C6" s="7" t="n">
        <v>2200</v>
      </c>
      <c r="D6" s="7" t="n">
        <v>2200</v>
      </c>
      <c r="E6" s="7" t="n">
        <v>2200</v>
      </c>
      <c r="F6" s="8" t="n">
        <v>3240</v>
      </c>
      <c r="G6" s="7" t="n">
        <v>1650</v>
      </c>
      <c r="H6" s="7" t="n">
        <v>1043</v>
      </c>
      <c r="I6" s="7" t="n">
        <v>844</v>
      </c>
      <c r="J6" s="7" t="n">
        <v>1317</v>
      </c>
      <c r="K6" s="7" t="n">
        <v>1214</v>
      </c>
      <c r="L6" s="7" t="n">
        <v>326</v>
      </c>
      <c r="M6" s="7" t="n">
        <v>747</v>
      </c>
      <c r="N6" s="7">
        <f>SUM(B6:M6)</f>
        <v/>
      </c>
      <c r="O6" s="7">
        <f>IFERROR(N6/12,0)</f>
        <v/>
      </c>
    </row>
    <row r="7" ht="18" customHeight="1">
      <c r="A7" s="6" t="inlineStr">
        <is>
          <t xml:space="preserve"> Revenus Audrey (archi, salaire, remb. pro)</t>
        </is>
      </c>
      <c r="B7" s="7" t="n">
        <v>920</v>
      </c>
      <c r="C7" s="7" t="n">
        <v>920</v>
      </c>
      <c r="D7" s="7" t="n">
        <v>920</v>
      </c>
      <c r="E7" s="7" t="n">
        <v>920</v>
      </c>
      <c r="F7" s="8" t="n">
        <v>920</v>
      </c>
      <c r="G7" s="7" t="n">
        <v>920</v>
      </c>
      <c r="H7" s="7" t="n">
        <v>920</v>
      </c>
      <c r="I7" s="7" t="n">
        <v>920</v>
      </c>
      <c r="J7" s="7" t="n">
        <v>920</v>
      </c>
      <c r="K7" s="7" t="n">
        <v>920</v>
      </c>
      <c r="L7" s="7" t="n">
        <v>920</v>
      </c>
      <c r="M7" s="7" t="n">
        <v>920</v>
      </c>
      <c r="N7" s="7">
        <f>SUM(B7:M7)</f>
        <v/>
      </c>
      <c r="O7" s="7">
        <f>IFERROR(N7/12,0)</f>
        <v/>
      </c>
    </row>
    <row r="8" ht="18" customHeight="1">
      <c r="A8" s="6" t="inlineStr">
        <is>
          <t>Abely SASU (virement mensuel)</t>
        </is>
      </c>
      <c r="B8" s="7" t="n">
        <v>600</v>
      </c>
      <c r="C8" s="7" t="n">
        <v>600</v>
      </c>
      <c r="D8" s="7" t="n">
        <v>600</v>
      </c>
      <c r="E8" s="7" t="n">
        <v>600</v>
      </c>
      <c r="F8" s="8" t="n">
        <v>600</v>
      </c>
      <c r="G8" s="7" t="n">
        <v>600</v>
      </c>
      <c r="H8" s="7" t="n">
        <v>600</v>
      </c>
      <c r="I8" s="7" t="n">
        <v>600</v>
      </c>
      <c r="J8" s="7" t="n">
        <v>600</v>
      </c>
      <c r="K8" s="7" t="n">
        <v>600</v>
      </c>
      <c r="L8" s="7" t="n">
        <v>600</v>
      </c>
      <c r="M8" s="7" t="n">
        <v>600</v>
      </c>
      <c r="N8" s="7">
        <f>SUM(B8:M8)</f>
        <v/>
      </c>
      <c r="O8" s="7">
        <f>IFERROR(N8/12,0)</f>
        <v/>
      </c>
    </row>
    <row r="9" ht="18" customHeight="1">
      <c r="A9" s="6" t="inlineStr">
        <is>
          <t>CAF</t>
        </is>
      </c>
      <c r="B9" s="7" t="n">
        <v>151</v>
      </c>
      <c r="C9" s="7" t="n">
        <v>151</v>
      </c>
      <c r="D9" s="7" t="n">
        <v>151</v>
      </c>
      <c r="E9" s="7" t="n">
        <v>151</v>
      </c>
      <c r="F9" s="8" t="n">
        <v>152</v>
      </c>
      <c r="G9" s="7" t="n">
        <v>151</v>
      </c>
      <c r="H9" s="7" t="n">
        <v>151</v>
      </c>
      <c r="I9" s="7" t="n">
        <v>151</v>
      </c>
      <c r="J9" s="7" t="n">
        <v>151</v>
      </c>
      <c r="K9" s="7" t="n">
        <v>151</v>
      </c>
      <c r="L9" s="7" t="n">
        <v>151</v>
      </c>
      <c r="M9" s="7" t="n">
        <v>151</v>
      </c>
      <c r="N9" s="7">
        <f>SUM(B9:M9)</f>
        <v/>
      </c>
      <c r="O9" s="7">
        <f>IFERROR(N9/12,0)</f>
        <v/>
      </c>
    </row>
    <row r="10" ht="18" customHeight="1">
      <c r="A10" s="6" t="inlineStr">
        <is>
          <t>Kaki (locataire — SCI)</t>
        </is>
      </c>
      <c r="B10" s="7" t="n"/>
      <c r="C10" s="7" t="n"/>
      <c r="D10" s="7" t="n"/>
      <c r="E10" s="7" t="n"/>
      <c r="F10" s="8" t="n"/>
      <c r="G10" s="7" t="n"/>
      <c r="H10" s="7" t="n">
        <v>600</v>
      </c>
      <c r="I10" s="7" t="n">
        <v>600</v>
      </c>
      <c r="J10" s="7" t="n">
        <v>600</v>
      </c>
      <c r="K10" s="7" t="n">
        <v>600</v>
      </c>
      <c r="L10" s="7" t="n">
        <v>600</v>
      </c>
      <c r="M10" s="7" t="n">
        <v>600</v>
      </c>
      <c r="N10" s="7">
        <f>SUM(B10:M10)</f>
        <v/>
      </c>
      <c r="O10" s="7">
        <f>IFERROR(N10/12,0)</f>
        <v/>
      </c>
    </row>
    <row r="11" ht="18" customHeight="1">
      <c r="A11" s="6" t="inlineStr">
        <is>
          <t xml:space="preserve"> Autres (remboursements, arbitrage, divers)</t>
        </is>
      </c>
      <c r="B11" s="7" t="n">
        <v>725</v>
      </c>
      <c r="C11" s="7" t="n">
        <v>1743</v>
      </c>
      <c r="D11" s="7" t="n">
        <v>1443</v>
      </c>
      <c r="E11" s="7" t="n">
        <v>812</v>
      </c>
      <c r="F11" s="8" t="n">
        <v>309</v>
      </c>
      <c r="G11" s="7" t="n">
        <v>500</v>
      </c>
      <c r="H11" s="7" t="n">
        <v>400</v>
      </c>
      <c r="I11" s="7" t="n">
        <v>400</v>
      </c>
      <c r="J11" s="7" t="n">
        <v>400</v>
      </c>
      <c r="K11" s="7" t="n">
        <v>400</v>
      </c>
      <c r="L11" s="7" t="n">
        <v>400</v>
      </c>
      <c r="M11" s="7" t="n">
        <v>400</v>
      </c>
      <c r="N11" s="7">
        <f>SUM(B11:M11)</f>
        <v/>
      </c>
      <c r="O11" s="7">
        <f>IFERROR(N11/12,0)</f>
        <v/>
      </c>
    </row>
    <row r="12" ht="20" customHeight="1">
      <c r="A12" s="9" t="inlineStr">
        <is>
          <t>TOTAL ENTRÉES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10">
        <f>SUM(F6:F11)</f>
        <v/>
      </c>
      <c r="G12" s="9">
        <f>SUM(G6:G11)</f>
        <v/>
      </c>
      <c r="H12" s="9">
        <f>SUM(H6:H11)</f>
        <v/>
      </c>
      <c r="I12" s="9">
        <f>SUM(I6:I11)</f>
        <v/>
      </c>
      <c r="J12" s="9">
        <f>SUM(J6:J11)</f>
        <v/>
      </c>
      <c r="K12" s="9">
        <f>SUM(K6:K11)</f>
        <v/>
      </c>
      <c r="L12" s="9">
        <f>SUM(L6:L11)</f>
        <v/>
      </c>
      <c r="M12" s="9">
        <f>SUM(M6:M11)</f>
        <v/>
      </c>
      <c r="N12" s="9">
        <f>SUM(N6:N11)</f>
        <v/>
      </c>
      <c r="O12" s="9">
        <f>IFERROR(N12/12,0)</f>
        <v/>
      </c>
    </row>
    <row r="13" ht="20" customHeight="1">
      <c r="A13" s="5" t="inlineStr">
        <is>
          <t>CHARGES FIXES</t>
        </is>
      </c>
    </row>
    <row r="14" ht="18" customHeight="1">
      <c r="A14" s="6" t="inlineStr">
        <is>
          <t>AXA (assurances mutuelles + auto)</t>
        </is>
      </c>
      <c r="B14" s="7" t="n">
        <v>154</v>
      </c>
      <c r="C14" s="7" t="n">
        <v>141</v>
      </c>
      <c r="D14" s="7" t="n">
        <v>141</v>
      </c>
      <c r="E14" s="7" t="n">
        <v>142</v>
      </c>
      <c r="F14" s="8" t="n">
        <v>142</v>
      </c>
      <c r="G14" s="7" t="n">
        <v>134</v>
      </c>
      <c r="H14" s="7" t="n">
        <v>134</v>
      </c>
      <c r="I14" s="7" t="n">
        <v>134</v>
      </c>
      <c r="J14" s="7" t="n">
        <v>134</v>
      </c>
      <c r="K14" s="7" t="n">
        <v>134</v>
      </c>
      <c r="L14" s="7" t="n">
        <v>134</v>
      </c>
      <c r="M14" s="7" t="n">
        <v>134</v>
      </c>
      <c r="N14" s="7">
        <f>SUM(B14:M14)</f>
        <v/>
      </c>
      <c r="O14" s="7">
        <f>IFERROR(N14/12,0)</f>
        <v/>
      </c>
    </row>
    <row r="15" ht="18" customHeight="1">
      <c r="A15" s="6" t="inlineStr">
        <is>
          <t>Canal+</t>
        </is>
      </c>
      <c r="B15" s="7" t="n">
        <v>35</v>
      </c>
      <c r="C15" s="7" t="n">
        <v>35</v>
      </c>
      <c r="D15" s="7" t="n">
        <v>35</v>
      </c>
      <c r="E15" s="7" t="n">
        <v>35</v>
      </c>
      <c r="F15" s="8" t="n">
        <v>35</v>
      </c>
      <c r="G15" s="7" t="n">
        <v>35</v>
      </c>
      <c r="H15" s="7" t="n">
        <v>35</v>
      </c>
      <c r="I15" s="7" t="n">
        <v>35</v>
      </c>
      <c r="J15" s="7" t="n">
        <v>35</v>
      </c>
      <c r="K15" s="7" t="n">
        <v>35</v>
      </c>
      <c r="L15" s="7" t="n">
        <v>35</v>
      </c>
      <c r="M15" s="7" t="n">
        <v>35</v>
      </c>
      <c r="N15" s="7">
        <f>SUM(B15:M15)</f>
        <v/>
      </c>
      <c r="O15" s="7">
        <f>IFERROR(N15/12,0)</f>
        <v/>
      </c>
    </row>
    <row r="16" ht="18" customHeight="1">
      <c r="A16" s="6" t="inlineStr">
        <is>
          <t>Veolia (eau)</t>
        </is>
      </c>
      <c r="B16" s="7" t="n">
        <v>81</v>
      </c>
      <c r="C16" s="7" t="n">
        <v>81</v>
      </c>
      <c r="D16" s="7" t="n">
        <v>81</v>
      </c>
      <c r="E16" s="7" t="n"/>
      <c r="F16" s="8" t="n">
        <v>81</v>
      </c>
      <c r="G16" s="7" t="n">
        <v>81</v>
      </c>
      <c r="H16" s="7" t="n">
        <v>81</v>
      </c>
      <c r="I16" s="7" t="n">
        <v>81</v>
      </c>
      <c r="J16" s="7" t="n">
        <v>81</v>
      </c>
      <c r="K16" s="7" t="n">
        <v>81</v>
      </c>
      <c r="L16" s="7" t="n">
        <v>81</v>
      </c>
      <c r="M16" s="7" t="n">
        <v>81</v>
      </c>
      <c r="N16" s="7">
        <f>SUM(B16:M16)</f>
        <v/>
      </c>
      <c r="O16" s="7">
        <f>IFERROR(N16/12,0)</f>
        <v/>
      </c>
    </row>
    <row r="17" ht="18" customHeight="1">
      <c r="A17" s="6" t="inlineStr">
        <is>
          <t>Free Telecom (box internet)</t>
        </is>
      </c>
      <c r="B17" s="7" t="n">
        <v>60</v>
      </c>
      <c r="C17" s="7" t="n">
        <v>65</v>
      </c>
      <c r="D17" s="7" t="n">
        <v>60</v>
      </c>
      <c r="E17" s="7" t="n">
        <v>60</v>
      </c>
      <c r="F17" s="8" t="n">
        <v>60</v>
      </c>
      <c r="G17" s="7" t="n">
        <v>60</v>
      </c>
      <c r="H17" s="7" t="n">
        <v>60</v>
      </c>
      <c r="I17" s="7" t="n">
        <v>60</v>
      </c>
      <c r="J17" s="7" t="n">
        <v>60</v>
      </c>
      <c r="K17" s="7" t="n">
        <v>60</v>
      </c>
      <c r="L17" s="7" t="n">
        <v>60</v>
      </c>
      <c r="M17" s="7" t="n">
        <v>60</v>
      </c>
      <c r="N17" s="7">
        <f>SUM(B17:M17)</f>
        <v/>
      </c>
      <c r="O17" s="7">
        <f>IFERROR(N17/12,0)</f>
        <v/>
      </c>
    </row>
    <row r="18" ht="18" customHeight="1">
      <c r="A18" s="6" t="inlineStr">
        <is>
          <t>Free Mobile (téléphones)</t>
        </is>
      </c>
      <c r="B18" s="7" t="n">
        <v>74</v>
      </c>
      <c r="C18" s="7" t="n">
        <v>64</v>
      </c>
      <c r="D18" s="7" t="n">
        <v>64</v>
      </c>
      <c r="E18" s="7" t="n">
        <v>70</v>
      </c>
      <c r="F18" s="8" t="n">
        <v>92</v>
      </c>
      <c r="G18" s="7" t="n">
        <v>66</v>
      </c>
      <c r="H18" s="7" t="n">
        <v>66</v>
      </c>
      <c r="I18" s="7" t="n">
        <v>66</v>
      </c>
      <c r="J18" s="7" t="n">
        <v>66</v>
      </c>
      <c r="K18" s="7" t="n">
        <v>66</v>
      </c>
      <c r="L18" s="7" t="n">
        <v>66</v>
      </c>
      <c r="M18" s="7" t="n">
        <v>66</v>
      </c>
      <c r="N18" s="7">
        <f>SUM(B18:M18)</f>
        <v/>
      </c>
      <c r="O18" s="7">
        <f>IFERROR(N18/12,0)</f>
        <v/>
      </c>
    </row>
    <row r="19" ht="18" customHeight="1">
      <c r="A19" s="6" t="inlineStr">
        <is>
          <t>La Belle Énergie (électricité/gaz)</t>
        </is>
      </c>
      <c r="B19" s="7" t="n"/>
      <c r="C19" s="7" t="n">
        <v>561</v>
      </c>
      <c r="D19" s="7" t="n"/>
      <c r="E19" s="7" t="n">
        <v>377</v>
      </c>
      <c r="F19" s="8" t="n">
        <v>173</v>
      </c>
      <c r="G19" s="7" t="n">
        <v>235</v>
      </c>
      <c r="H19" s="7" t="n">
        <v>235</v>
      </c>
      <c r="I19" s="7" t="n">
        <v>235</v>
      </c>
      <c r="J19" s="7" t="n">
        <v>235</v>
      </c>
      <c r="K19" s="7" t="n">
        <v>235</v>
      </c>
      <c r="L19" s="7" t="n">
        <v>235</v>
      </c>
      <c r="M19" s="7" t="n">
        <v>235</v>
      </c>
      <c r="N19" s="7">
        <f>SUM(B19:M19)</f>
        <v/>
      </c>
      <c r="O19" s="7">
        <f>IFERROR(N19/12,0)</f>
        <v/>
      </c>
    </row>
    <row r="20" ht="18" customHeight="1">
      <c r="A20" s="6" t="inlineStr">
        <is>
          <t>Impôts IR (prélèvement mensuel)</t>
        </is>
      </c>
      <c r="B20" s="7" t="n">
        <v>254</v>
      </c>
      <c r="C20" s="7" t="n">
        <v>254</v>
      </c>
      <c r="D20" s="7" t="n">
        <v>254</v>
      </c>
      <c r="E20" s="7" t="n">
        <v>254</v>
      </c>
      <c r="F20" s="8" t="n">
        <v>254</v>
      </c>
      <c r="G20" s="7" t="n">
        <v>254</v>
      </c>
      <c r="H20" s="7" t="n">
        <v>254</v>
      </c>
      <c r="I20" s="7" t="n">
        <v>254</v>
      </c>
      <c r="J20" s="7" t="n">
        <v>254</v>
      </c>
      <c r="K20" s="7" t="n">
        <v>254</v>
      </c>
      <c r="L20" s="7" t="n">
        <v>254</v>
      </c>
      <c r="M20" s="7" t="n">
        <v>254</v>
      </c>
      <c r="N20" s="7">
        <f>SUM(B20:M20)</f>
        <v/>
      </c>
      <c r="O20" s="7">
        <f>IFERROR(N20/12,0)</f>
        <v/>
      </c>
    </row>
    <row r="21" ht="18" customHeight="1">
      <c r="A21" s="6" t="inlineStr">
        <is>
          <t>Impôts TF (taxe foncière)</t>
        </is>
      </c>
      <c r="B21" s="7" t="n">
        <v>147</v>
      </c>
      <c r="C21" s="7" t="n">
        <v>147</v>
      </c>
      <c r="D21" s="7" t="n">
        <v>147</v>
      </c>
      <c r="E21" s="7" t="n">
        <v>147</v>
      </c>
      <c r="F21" s="8" t="n">
        <v>147</v>
      </c>
      <c r="G21" s="7" t="n">
        <v>147</v>
      </c>
      <c r="H21" s="7" t="n">
        <v>147</v>
      </c>
      <c r="I21" s="7" t="n">
        <v>147</v>
      </c>
      <c r="J21" s="7" t="n">
        <v>147</v>
      </c>
      <c r="K21" s="7" t="n">
        <v>147</v>
      </c>
      <c r="L21" s="7" t="n">
        <v>147</v>
      </c>
      <c r="M21" s="7" t="n">
        <v>147</v>
      </c>
      <c r="N21" s="7">
        <f>SUM(B21:M21)</f>
        <v/>
      </c>
      <c r="O21" s="7">
        <f>IFERROR(N21/12,0)</f>
        <v/>
      </c>
    </row>
    <row r="22" ht="18" customHeight="1">
      <c r="A22" s="6" t="inlineStr">
        <is>
          <t>Sévigné (scolarité)</t>
        </is>
      </c>
      <c r="B22" s="7" t="n">
        <v>164</v>
      </c>
      <c r="C22" s="7" t="n">
        <v>282</v>
      </c>
      <c r="D22" s="7" t="n">
        <v>282</v>
      </c>
      <c r="E22" s="7" t="n">
        <v>282</v>
      </c>
      <c r="F22" s="8" t="n">
        <v>283</v>
      </c>
      <c r="G22" s="7" t="n">
        <v>282</v>
      </c>
      <c r="H22" s="7" t="n"/>
      <c r="I22" s="7" t="n"/>
      <c r="J22" s="7" t="n">
        <v>282</v>
      </c>
      <c r="K22" s="7" t="n">
        <v>282</v>
      </c>
      <c r="L22" s="7" t="n">
        <v>282</v>
      </c>
      <c r="M22" s="7" t="n">
        <v>282</v>
      </c>
      <c r="N22" s="7">
        <f>SUM(B22:M22)</f>
        <v/>
      </c>
      <c r="O22" s="7">
        <f>IFERROR(N22/12,0)</f>
        <v/>
      </c>
    </row>
    <row r="23" ht="18" customHeight="1">
      <c r="A23" s="6" t="inlineStr">
        <is>
          <t>Saint-Vallier (basket)</t>
        </is>
      </c>
      <c r="B23" s="7" t="n">
        <v>60</v>
      </c>
      <c r="C23" s="7" t="n">
        <v>60</v>
      </c>
      <c r="D23" s="7" t="n">
        <v>60</v>
      </c>
      <c r="E23" s="7" t="n">
        <v>60</v>
      </c>
      <c r="F23" s="8" t="n">
        <v>60</v>
      </c>
      <c r="G23" s="7" t="n"/>
      <c r="H23" s="7" t="n"/>
      <c r="I23" s="7" t="n"/>
      <c r="J23" s="7" t="n">
        <v>60</v>
      </c>
      <c r="K23" s="7" t="n">
        <v>60</v>
      </c>
      <c r="L23" s="7" t="n">
        <v>60</v>
      </c>
      <c r="M23" s="7" t="n">
        <v>60</v>
      </c>
      <c r="N23" s="7">
        <f>SUM(B23:M23)</f>
        <v/>
      </c>
      <c r="O23" s="7">
        <f>IFERROR(N23/12,0)</f>
        <v/>
      </c>
    </row>
    <row r="24" ht="18" customHeight="1">
      <c r="A24" s="6" t="inlineStr">
        <is>
          <t>Péages ASF (abonnement)</t>
        </is>
      </c>
      <c r="B24" s="7" t="n">
        <v>219</v>
      </c>
      <c r="C24" s="7" t="n">
        <v>157</v>
      </c>
      <c r="D24" s="7" t="n">
        <v>131</v>
      </c>
      <c r="E24" s="7" t="n">
        <v>14</v>
      </c>
      <c r="F24" s="8" t="n">
        <v>190</v>
      </c>
      <c r="G24" s="7" t="n">
        <v>130</v>
      </c>
      <c r="H24" s="7" t="n">
        <v>130</v>
      </c>
      <c r="I24" s="7" t="n">
        <v>130</v>
      </c>
      <c r="J24" s="7" t="n">
        <v>130</v>
      </c>
      <c r="K24" s="7" t="n">
        <v>130</v>
      </c>
      <c r="L24" s="7" t="n">
        <v>130</v>
      </c>
      <c r="M24" s="7" t="n">
        <v>130</v>
      </c>
      <c r="N24" s="7">
        <f>SUM(B24:M24)</f>
        <v/>
      </c>
      <c r="O24" s="7">
        <f>IFERROR(N24/12,0)</f>
        <v/>
      </c>
    </row>
    <row r="25" ht="18" customHeight="1">
      <c r="A25" s="6" t="inlineStr">
        <is>
          <t>Virements SCI Gambetta (apport mensuel)</t>
        </is>
      </c>
      <c r="B25" s="7" t="n">
        <v>700</v>
      </c>
      <c r="C25" s="7" t="n"/>
      <c r="D25" s="7" t="n"/>
      <c r="E25" s="7" t="n">
        <v>1400</v>
      </c>
      <c r="F25" s="8" t="n"/>
      <c r="G25" s="7" t="n"/>
      <c r="H25" s="7" t="n"/>
      <c r="I25" s="7" t="n"/>
      <c r="J25" s="7" t="n"/>
      <c r="K25" s="7" t="n"/>
      <c r="L25" s="7" t="n"/>
      <c r="M25" s="7" t="n"/>
      <c r="N25" s="7">
        <f>SUM(B25:M25)</f>
        <v/>
      </c>
      <c r="O25" s="7">
        <f>IFERROR(N25/12,0)</f>
        <v/>
      </c>
    </row>
    <row r="26" ht="18" customHeight="1">
      <c r="A26" s="6" t="inlineStr">
        <is>
          <t>Lycée Johan (frais scol.)</t>
        </is>
      </c>
      <c r="B26" s="7" t="n"/>
      <c r="C26" s="7" t="n"/>
      <c r="D26" s="7" t="n"/>
      <c r="E26" s="7" t="n">
        <v>494</v>
      </c>
      <c r="F26" s="8" t="n"/>
      <c r="G26" s="7" t="n"/>
      <c r="H26" s="7" t="n"/>
      <c r="I26" s="7" t="n"/>
      <c r="J26" s="7" t="n">
        <v>165</v>
      </c>
      <c r="K26" s="7" t="n">
        <v>165</v>
      </c>
      <c r="L26" s="7" t="n">
        <v>165</v>
      </c>
      <c r="M26" s="7" t="n">
        <v>165</v>
      </c>
      <c r="N26" s="7">
        <f>SUM(B26:M26)</f>
        <v/>
      </c>
      <c r="O26" s="7">
        <f>IFERROR(N26/12,0)</f>
        <v/>
      </c>
    </row>
    <row r="27" ht="18" customHeight="1">
      <c r="A27" s="6" t="inlineStr">
        <is>
          <t>Abely QONTO (virement société)</t>
        </is>
      </c>
      <c r="B27" s="7" t="n"/>
      <c r="C27" s="7" t="n"/>
      <c r="D27" s="7" t="n"/>
      <c r="E27" s="7" t="n">
        <v>1500</v>
      </c>
      <c r="F27" s="8" t="n">
        <v>200</v>
      </c>
      <c r="G27" s="7" t="n">
        <v>500</v>
      </c>
      <c r="H27" s="7" t="n"/>
      <c r="I27" s="7" t="n"/>
      <c r="J27" s="7" t="n"/>
      <c r="K27" s="7" t="n"/>
      <c r="L27" s="7" t="n"/>
      <c r="M27" s="7" t="n"/>
      <c r="N27" s="7">
        <f>SUM(B27:M27)</f>
        <v/>
      </c>
      <c r="O27" s="7">
        <f>IFERROR(N27/12,0)</f>
        <v/>
      </c>
    </row>
    <row r="28" ht="20" customHeight="1">
      <c r="A28" s="9" t="inlineStr">
        <is>
          <t>TOTAL CHARGES FIXES</t>
        </is>
      </c>
      <c r="B28" s="9">
        <f>SUM(B14:B27)</f>
        <v/>
      </c>
      <c r="C28" s="9">
        <f>SUM(C14:C27)</f>
        <v/>
      </c>
      <c r="D28" s="9">
        <f>SUM(D14:D27)</f>
        <v/>
      </c>
      <c r="E28" s="9">
        <f>SUM(E14:E27)</f>
        <v/>
      </c>
      <c r="F28" s="10">
        <f>SUM(F14:F27)</f>
        <v/>
      </c>
      <c r="G28" s="9">
        <f>SUM(G14:G27)</f>
        <v/>
      </c>
      <c r="H28" s="9">
        <f>SUM(H14:H27)</f>
        <v/>
      </c>
      <c r="I28" s="9">
        <f>SUM(I14:I27)</f>
        <v/>
      </c>
      <c r="J28" s="9">
        <f>SUM(J14:J27)</f>
        <v/>
      </c>
      <c r="K28" s="9">
        <f>SUM(K14:K27)</f>
        <v/>
      </c>
      <c r="L28" s="9">
        <f>SUM(L14:L27)</f>
        <v/>
      </c>
      <c r="M28" s="9">
        <f>SUM(M14:M27)</f>
        <v/>
      </c>
      <c r="N28" s="9">
        <f>SUM(N14:N27)</f>
        <v/>
      </c>
      <c r="O28" s="9">
        <f>IFERROR(N28/12,0)</f>
        <v/>
      </c>
    </row>
    <row r="29" ht="20" customHeight="1">
      <c r="A29" s="5" t="inlineStr">
        <is>
          <t>CHARGES VARIABLES ⟵ C'EST ICI QUE SE JOUE VOTRE LIBERTÉ FINANCIÈRE MENSUELLE</t>
        </is>
      </c>
    </row>
    <row r="30" ht="18" customHeight="1">
      <c r="A30" s="6" t="inlineStr">
        <is>
          <t xml:space="preserve"> Courses alimentaires (Natodis, Leclerc, Lidl…)</t>
        </is>
      </c>
      <c r="B30" s="7" t="n">
        <v>250</v>
      </c>
      <c r="C30" s="7" t="n">
        <v>230</v>
      </c>
      <c r="D30" s="7" t="n">
        <v>260</v>
      </c>
      <c r="E30" s="7" t="n">
        <v>200</v>
      </c>
      <c r="F30" s="8" t="n">
        <v>834</v>
      </c>
      <c r="G30" s="7" t="n">
        <v>235</v>
      </c>
      <c r="H30" s="7" t="n">
        <v>235</v>
      </c>
      <c r="I30" s="7" t="n">
        <v>235</v>
      </c>
      <c r="J30" s="7" t="n">
        <v>235</v>
      </c>
      <c r="K30" s="7" t="n">
        <v>235</v>
      </c>
      <c r="L30" s="7" t="n">
        <v>235</v>
      </c>
      <c r="M30" s="7" t="n">
        <v>235</v>
      </c>
      <c r="N30" s="7">
        <f>SUM(B30:M30)</f>
        <v/>
      </c>
      <c r="O30" s="7">
        <f>IFERROR(N30/12,0)</f>
        <v/>
      </c>
    </row>
    <row r="31" ht="18" customHeight="1">
      <c r="A31" s="6" t="inlineStr">
        <is>
          <t xml:space="preserve"> Restaurants / Sorties (restos, cafés, cinéma…)</t>
        </is>
      </c>
      <c r="B31" s="7" t="n">
        <v>450</v>
      </c>
      <c r="C31" s="7" t="n">
        <v>380</v>
      </c>
      <c r="D31" s="7" t="n">
        <v>480</v>
      </c>
      <c r="E31" s="7" t="n">
        <v>500</v>
      </c>
      <c r="F31" s="8" t="n">
        <v>312</v>
      </c>
      <c r="G31" s="7" t="n">
        <v>453</v>
      </c>
      <c r="H31" s="7" t="n">
        <v>453</v>
      </c>
      <c r="I31" s="7" t="n">
        <v>453</v>
      </c>
      <c r="J31" s="7" t="n">
        <v>453</v>
      </c>
      <c r="K31" s="7" t="n">
        <v>453</v>
      </c>
      <c r="L31" s="7" t="n">
        <v>453</v>
      </c>
      <c r="M31" s="7" t="n">
        <v>453</v>
      </c>
      <c r="N31" s="7">
        <f>SUM(B31:M31)</f>
        <v/>
      </c>
      <c r="O31" s="7">
        <f>IFERROR(N31/12,0)</f>
        <v/>
      </c>
    </row>
    <row r="32" ht="18" customHeight="1">
      <c r="A32" s="6" t="inlineStr">
        <is>
          <t xml:space="preserve"> Shopping / Vêtements (Amazon, Zara, H&amp;M…)</t>
        </is>
      </c>
      <c r="B32" s="7" t="n">
        <v>850</v>
      </c>
      <c r="C32" s="7" t="n">
        <v>520</v>
      </c>
      <c r="D32" s="7" t="n">
        <v>380</v>
      </c>
      <c r="E32" s="7" t="n">
        <v>620</v>
      </c>
      <c r="F32" s="8" t="n">
        <v>632</v>
      </c>
      <c r="G32" s="7" t="n">
        <v>593</v>
      </c>
      <c r="H32" s="7" t="n">
        <v>593</v>
      </c>
      <c r="I32" s="7" t="n">
        <v>593</v>
      </c>
      <c r="J32" s="7" t="n">
        <v>593</v>
      </c>
      <c r="K32" s="7" t="n">
        <v>593</v>
      </c>
      <c r="L32" s="7" t="n">
        <v>593</v>
      </c>
      <c r="M32" s="7" t="n">
        <v>593</v>
      </c>
      <c r="N32" s="7">
        <f>SUM(B32:M32)</f>
        <v/>
      </c>
      <c r="O32" s="7">
        <f>IFERROR(N32/12,0)</f>
        <v/>
      </c>
    </row>
    <row r="33" ht="18" customHeight="1">
      <c r="A33" s="6" t="inlineStr">
        <is>
          <t>Santé / Pharmacie / Médecins</t>
        </is>
      </c>
      <c r="B33" s="7" t="n">
        <v>200</v>
      </c>
      <c r="C33" s="7" t="n">
        <v>80</v>
      </c>
      <c r="D33" s="7" t="n">
        <v>45</v>
      </c>
      <c r="E33" s="7" t="n">
        <v>120</v>
      </c>
      <c r="F33" s="8" t="n">
        <v>190</v>
      </c>
      <c r="G33" s="7" t="n">
        <v>111</v>
      </c>
      <c r="H33" s="7" t="n">
        <v>111</v>
      </c>
      <c r="I33" s="7" t="n">
        <v>111</v>
      </c>
      <c r="J33" s="7" t="n">
        <v>111</v>
      </c>
      <c r="K33" s="7" t="n">
        <v>111</v>
      </c>
      <c r="L33" s="7" t="n">
        <v>111</v>
      </c>
      <c r="M33" s="7" t="n">
        <v>111</v>
      </c>
      <c r="N33" s="7">
        <f>SUM(B33:M33)</f>
        <v/>
      </c>
      <c r="O33" s="7">
        <f>IFERROR(N33/12,0)</f>
        <v/>
      </c>
    </row>
    <row r="34" ht="18" customHeight="1">
      <c r="A34" s="6" t="inlineStr">
        <is>
          <t xml:space="preserve"> Loisirs / Sport / Culture (padel, volley, livres…)</t>
        </is>
      </c>
      <c r="B34" s="7" t="n">
        <v>200</v>
      </c>
      <c r="C34" s="7" t="n">
        <v>280</v>
      </c>
      <c r="D34" s="7" t="n">
        <v>480</v>
      </c>
      <c r="E34" s="7" t="n">
        <v>380</v>
      </c>
      <c r="F34" s="8" t="n">
        <v>432</v>
      </c>
      <c r="G34" s="7" t="n">
        <v>335</v>
      </c>
      <c r="H34" s="7" t="n">
        <v>335</v>
      </c>
      <c r="I34" s="7" t="n">
        <v>335</v>
      </c>
      <c r="J34" s="7" t="n">
        <v>335</v>
      </c>
      <c r="K34" s="7" t="n">
        <v>335</v>
      </c>
      <c r="L34" s="7" t="n">
        <v>335</v>
      </c>
      <c r="M34" s="7" t="n">
        <v>335</v>
      </c>
      <c r="N34" s="7">
        <f>SUM(B34:M34)</f>
        <v/>
      </c>
      <c r="O34" s="7">
        <f>IFERROR(N34/12,0)</f>
        <v/>
      </c>
    </row>
    <row r="35" ht="18" customHeight="1">
      <c r="A35" s="6" t="inlineStr">
        <is>
          <t xml:space="preserve"> Voyages / Hébergements (Airbnb, Booking…)</t>
        </is>
      </c>
      <c r="B35" s="7" t="n">
        <v>80</v>
      </c>
      <c r="C35" s="7" t="n">
        <v>290</v>
      </c>
      <c r="D35" s="7" t="n">
        <v>245</v>
      </c>
      <c r="E35" s="7" t="n">
        <v>85</v>
      </c>
      <c r="F35" s="8" t="n">
        <v>20</v>
      </c>
      <c r="G35" s="7" t="n">
        <v>1500</v>
      </c>
      <c r="H35" s="7" t="n">
        <v>800</v>
      </c>
      <c r="I35" s="7" t="n">
        <v>1500</v>
      </c>
      <c r="J35" s="7" t="n"/>
      <c r="K35" s="7" t="n"/>
      <c r="L35" s="7" t="n"/>
      <c r="M35" s="7" t="n"/>
      <c r="N35" s="7">
        <f>SUM(B35:M35)</f>
        <v/>
      </c>
      <c r="O35" s="7">
        <f>IFERROR(N35/12,0)</f>
        <v/>
      </c>
    </row>
    <row r="36" ht="18" customHeight="1">
      <c r="A36" s="6" t="inlineStr">
        <is>
          <t>Divers / Imprévus</t>
        </is>
      </c>
      <c r="B36" s="7" t="n">
        <v>396</v>
      </c>
      <c r="C36" s="7" t="n">
        <v>375</v>
      </c>
      <c r="D36" s="7" t="n">
        <v>851</v>
      </c>
      <c r="E36" s="7" t="n">
        <v>1276</v>
      </c>
      <c r="F36" s="8" t="n">
        <v>401</v>
      </c>
      <c r="G36" s="7" t="n">
        <v>725</v>
      </c>
      <c r="H36" s="7" t="n">
        <v>725</v>
      </c>
      <c r="I36" s="7" t="n">
        <v>725</v>
      </c>
      <c r="J36" s="7" t="n">
        <v>725</v>
      </c>
      <c r="K36" s="7" t="n">
        <v>725</v>
      </c>
      <c r="L36" s="7" t="n">
        <v>725</v>
      </c>
      <c r="M36" s="7" t="n">
        <v>725</v>
      </c>
      <c r="N36" s="7">
        <f>SUM(B36:M36)</f>
        <v/>
      </c>
      <c r="O36" s="7">
        <f>IFERROR(N36/12,0)</f>
        <v/>
      </c>
    </row>
    <row r="37" ht="20" customHeight="1">
      <c r="A37" s="9" t="inlineStr">
        <is>
          <t>TOTAL CHARGES VARIABLES</t>
        </is>
      </c>
      <c r="B37" s="9">
        <f>SUM(B30:B36)</f>
        <v/>
      </c>
      <c r="C37" s="9">
        <f>SUM(C30:C36)</f>
        <v/>
      </c>
      <c r="D37" s="9">
        <f>SUM(D30:D36)</f>
        <v/>
      </c>
      <c r="E37" s="9">
        <f>SUM(E30:E36)</f>
        <v/>
      </c>
      <c r="F37" s="10">
        <f>SUM(F30:F36)</f>
        <v/>
      </c>
      <c r="G37" s="9">
        <f>SUM(G30:G36)</f>
        <v/>
      </c>
      <c r="H37" s="9">
        <f>SUM(H30:H36)</f>
        <v/>
      </c>
      <c r="I37" s="9">
        <f>SUM(I30:I36)</f>
        <v/>
      </c>
      <c r="J37" s="9">
        <f>SUM(J30:J36)</f>
        <v/>
      </c>
      <c r="K37" s="9">
        <f>SUM(K30:K36)</f>
        <v/>
      </c>
      <c r="L37" s="9">
        <f>SUM(L30:L36)</f>
        <v/>
      </c>
      <c r="M37" s="9">
        <f>SUM(M30:M36)</f>
        <v/>
      </c>
      <c r="N37" s="9">
        <f>SUM(N30:N36)</f>
        <v/>
      </c>
      <c r="O37" s="9">
        <f>IFERROR(N37/12,0)</f>
        <v/>
      </c>
    </row>
    <row r="38" ht="22" customHeight="1">
      <c r="A38" s="11" t="inlineStr">
        <is>
          <t>TOTAL DES CHARGES (CF + CV)</t>
        </is>
      </c>
      <c r="B38" s="11">
        <f>B28+B37</f>
        <v/>
      </c>
      <c r="C38" s="11">
        <f>C28+C37</f>
        <v/>
      </c>
      <c r="D38" s="11">
        <f>D28+D37</f>
        <v/>
      </c>
      <c r="E38" s="11">
        <f>E28+E37</f>
        <v/>
      </c>
      <c r="F38" s="11">
        <f>F28+F37</f>
        <v/>
      </c>
      <c r="G38" s="11">
        <f>G28+G37</f>
        <v/>
      </c>
      <c r="H38" s="11">
        <f>H28+H37</f>
        <v/>
      </c>
      <c r="I38" s="11">
        <f>I28+I37</f>
        <v/>
      </c>
      <c r="J38" s="11">
        <f>J28+J37</f>
        <v/>
      </c>
      <c r="K38" s="11">
        <f>K28+K37</f>
        <v/>
      </c>
      <c r="L38" s="11">
        <f>L28+L37</f>
        <v/>
      </c>
      <c r="M38" s="11">
        <f>M28+M37</f>
        <v/>
      </c>
      <c r="N38" s="11">
        <f>N28+N37</f>
        <v/>
      </c>
      <c r="O38" s="11">
        <f>IFERROR(N38/12,0)</f>
        <v/>
      </c>
    </row>
    <row r="39" ht="22" customHeight="1">
      <c r="A39" s="12" t="inlineStr">
        <is>
          <t>RÉSULTAT NET DU MOIS (Entrées − CF − CV)</t>
        </is>
      </c>
      <c r="B39" s="12">
        <f>B12-B28-B37</f>
        <v/>
      </c>
      <c r="C39" s="12">
        <f>C12-C28-C37</f>
        <v/>
      </c>
      <c r="D39" s="12">
        <f>D12-D28-D37</f>
        <v/>
      </c>
      <c r="E39" s="12">
        <f>E12-E28-E37</f>
        <v/>
      </c>
      <c r="F39" s="12">
        <f>F12-F28-F37</f>
        <v/>
      </c>
      <c r="G39" s="12">
        <f>G12-G28-G37</f>
        <v/>
      </c>
      <c r="H39" s="12">
        <f>H12-H28-H37</f>
        <v/>
      </c>
      <c r="I39" s="12">
        <f>I12-I28-I37</f>
        <v/>
      </c>
      <c r="J39" s="12">
        <f>J12-J28-J37</f>
        <v/>
      </c>
      <c r="K39" s="12">
        <f>K12-K28-K37</f>
        <v/>
      </c>
      <c r="L39" s="12">
        <f>L12-L28-L37</f>
        <v/>
      </c>
      <c r="M39" s="12">
        <f>M12-M28-M37</f>
        <v/>
      </c>
      <c r="N39" s="12">
        <f>N12-N28-N37</f>
        <v/>
      </c>
      <c r="O39" s="12">
        <f>IFERROR(N39/12,0)</f>
        <v/>
      </c>
    </row>
    <row r="40" ht="22" customHeight="1">
      <c r="A40" s="12" t="inlineStr">
        <is>
          <t>SOLDE COMPTE (fin de mois) ← Réels Jan–Mai, puis projeté</t>
        </is>
      </c>
      <c r="B40" s="12" t="n">
        <v>-29</v>
      </c>
      <c r="C40" s="12" t="n">
        <v>1540</v>
      </c>
      <c r="D40" s="12" t="n">
        <v>2525</v>
      </c>
      <c r="E40" s="12" t="n">
        <v>729</v>
      </c>
      <c r="F40" s="12" t="n">
        <v>934</v>
      </c>
      <c r="G40" s="12">
        <f>F40+G39</f>
        <v/>
      </c>
      <c r="H40" s="12">
        <f>G40+H39</f>
        <v/>
      </c>
      <c r="I40" s="12">
        <f>H40+I39</f>
        <v/>
      </c>
      <c r="J40" s="12">
        <f>I40+J39</f>
        <v/>
      </c>
      <c r="K40" s="12">
        <f>J40+K39</f>
        <v/>
      </c>
      <c r="L40" s="12">
        <f>K40+L39</f>
        <v/>
      </c>
      <c r="M40" s="12">
        <f>L40+M39</f>
        <v/>
      </c>
    </row>
    <row r="42" ht="22" customHeight="1">
      <c r="A42" s="13" t="inlineStr">
        <is>
          <t>🔡 CE QUE VOUS POUVEZ DÉPENSER EN CHARGES VARIABLES CHAQUE MOIS POUR ÉQUILIBRER</t>
        </is>
      </c>
    </row>
    <row r="43">
      <c r="A43" s="12" t="inlineStr">
        <is>
          <t>Budget CV max pour solde neutre (= Entrées − CF)</t>
        </is>
      </c>
      <c r="B43" s="12">
        <f>B12-B28</f>
        <v/>
      </c>
      <c r="C43" s="12">
        <f>C12-C28</f>
        <v/>
      </c>
      <c r="D43" s="12">
        <f>D12-D28</f>
        <v/>
      </c>
      <c r="E43" s="12">
        <f>E12-E28</f>
        <v/>
      </c>
      <c r="F43" s="12">
        <f>F12-F28</f>
        <v/>
      </c>
      <c r="G43" s="12">
        <f>G12-G28</f>
        <v/>
      </c>
      <c r="H43" s="12">
        <f>H12-H28</f>
        <v/>
      </c>
      <c r="I43" s="12">
        <f>I12-I28</f>
        <v/>
      </c>
      <c r="J43" s="12">
        <f>J12-J28</f>
        <v/>
      </c>
      <c r="K43" s="12">
        <f>K12-K28</f>
        <v/>
      </c>
      <c r="L43" s="12">
        <f>L12-L28</f>
        <v/>
      </c>
      <c r="M43" s="12">
        <f>M12-M28</f>
        <v/>
      </c>
    </row>
    <row r="44">
      <c r="A44" s="12" t="inlineStr">
        <is>
          <t>Écart : CV réalisées vs budget (+ = économie, − = dépassement)</t>
        </is>
      </c>
      <c r="B44" s="12">
        <f>B39</f>
        <v/>
      </c>
      <c r="C44" s="12">
        <f>C39</f>
        <v/>
      </c>
      <c r="D44" s="12">
        <f>D39</f>
        <v/>
      </c>
      <c r="E44" s="12">
        <f>E39</f>
        <v/>
      </c>
      <c r="F44" s="12">
        <f>F39</f>
        <v/>
      </c>
      <c r="G44" s="12">
        <f>G39</f>
        <v/>
      </c>
      <c r="H44" s="12">
        <f>H39</f>
        <v/>
      </c>
      <c r="I44" s="12">
        <f>I39</f>
        <v/>
      </c>
      <c r="J44" s="12">
        <f>J39</f>
        <v/>
      </c>
      <c r="K44" s="12">
        <f>K39</f>
        <v/>
      </c>
      <c r="L44" s="12">
        <f>L39</f>
        <v/>
      </c>
      <c r="M44" s="12">
        <f>M39</f>
        <v/>
      </c>
    </row>
  </sheetData>
  <mergeCells count="7">
    <mergeCell ref="A13:M13"/>
    <mergeCell ref="A5:M5"/>
    <mergeCell ref="A1:P1"/>
    <mergeCell ref="A42:M42"/>
    <mergeCell ref="A3:P3"/>
    <mergeCell ref="A29:M29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2026-06-12T14:48:08Z</dcterms:created>
  <dcterms:modified xmlns:dcterms="http://purl.org/dc/terms/" xmlns:xsi="http://www.w3.org/2001/XMLSchema-instance" xsi:type="dcterms:W3CDTF">2026-06-12T14:48:08Z</dcterms:modified>
</cp:coreProperties>
</file>